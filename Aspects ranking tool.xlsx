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ifa\Dropbox\PhD\Dissertation\Objective2-Framework\Remaining steps\tools\"/>
    </mc:Choice>
  </mc:AlternateContent>
  <xr:revisionPtr revIDLastSave="0" documentId="13_ncr:1_{9B3E271F-6E44-470E-AE1E-AF180401A01B}" xr6:coauthVersionLast="47" xr6:coauthVersionMax="47" xr10:uidLastSave="{00000000-0000-0000-0000-000000000000}"/>
  <bookViews>
    <workbookView xWindow="-108" yWindow="-108" windowWidth="23256" windowHeight="12456" tabRatio="942" activeTab="4" xr2:uid="{BE22BE80-65C2-4C7A-AD39-EA303F5F1678}"/>
  </bookViews>
  <sheets>
    <sheet name="MoSCoW Method" sheetId="4" r:id="rId1"/>
    <sheet name="AHP(Structure the hierarchy)" sheetId="6" r:id="rId2"/>
    <sheet name="Compare and weight the criteria" sheetId="9" r:id="rId3"/>
    <sheet name="User Profiles" sheetId="10" r:id="rId4"/>
    <sheet name="App domain specificity" sheetId="11" r:id="rId5"/>
    <sheet name="Task Complexity" sheetId="12" r:id="rId6"/>
    <sheet name="Feasibility" sheetId="13" r:id="rId7"/>
    <sheet name="Total scores" sheetId="14" r:id="rId8"/>
  </sheets>
  <definedNames>
    <definedName name="_edn1" localSheetId="0">'MoSCoW Method'!$A$1126</definedName>
    <definedName name="_edn2" localSheetId="0">'MoSCoW Method'!$A$1127</definedName>
    <definedName name="_ednref1" localSheetId="0">'MoSCoW Method'!#REF!</definedName>
    <definedName name="_ednref2" localSheetId="0">'MoSCoW Method'!$D$35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4" l="1"/>
  <c r="L5" i="14"/>
  <c r="L6" i="14"/>
  <c r="L7" i="14"/>
  <c r="L8" i="14"/>
  <c r="L9" i="14"/>
  <c r="L10" i="14"/>
  <c r="L11" i="14"/>
  <c r="L12" i="14"/>
  <c r="L13" i="14"/>
  <c r="L14" i="14"/>
  <c r="L15" i="14"/>
  <c r="L16" i="14"/>
  <c r="L17" i="14"/>
  <c r="L18" i="14"/>
  <c r="L19" i="14"/>
  <c r="L20" i="14"/>
  <c r="L21" i="14"/>
  <c r="L22" i="14"/>
  <c r="L23" i="14"/>
  <c r="L24" i="14"/>
  <c r="L25" i="14"/>
  <c r="L26" i="14"/>
  <c r="L27" i="14"/>
  <c r="L28" i="14"/>
  <c r="L29" i="14"/>
  <c r="L3" i="14"/>
  <c r="B8" i="9"/>
  <c r="C8" i="9"/>
  <c r="D9" i="9"/>
  <c r="C9" i="9"/>
  <c r="B9" i="9"/>
  <c r="B7" i="9"/>
  <c r="E10" i="13"/>
  <c r="D10" i="13"/>
  <c r="E10" i="12"/>
  <c r="X59" i="13"/>
  <c r="Z57" i="13"/>
  <c r="O55" i="13"/>
  <c r="L55" i="13"/>
  <c r="Q45" i="13"/>
  <c r="N45" i="13"/>
  <c r="J41" i="13"/>
  <c r="E41" i="13"/>
  <c r="AB36" i="13"/>
  <c r="AA32" i="13"/>
  <c r="AA36" i="13" s="1"/>
  <c r="Z32" i="13"/>
  <c r="Y32" i="13"/>
  <c r="X32" i="13"/>
  <c r="W32" i="13"/>
  <c r="V32" i="13"/>
  <c r="U32" i="13"/>
  <c r="T32" i="13"/>
  <c r="S32" i="13"/>
  <c r="R32" i="13"/>
  <c r="Q32" i="13"/>
  <c r="P32" i="13"/>
  <c r="O32" i="13"/>
  <c r="N32" i="13"/>
  <c r="M32" i="13"/>
  <c r="L32" i="13"/>
  <c r="K32" i="13"/>
  <c r="J32" i="13"/>
  <c r="I32" i="13"/>
  <c r="H32" i="13"/>
  <c r="G32" i="13"/>
  <c r="F32" i="13"/>
  <c r="E32" i="13"/>
  <c r="D32" i="13"/>
  <c r="C32" i="13"/>
  <c r="B32" i="13"/>
  <c r="T62" i="13" s="1"/>
  <c r="Z31" i="13"/>
  <c r="Z36" i="13" s="1"/>
  <c r="Y31" i="13"/>
  <c r="X31" i="13"/>
  <c r="W31" i="13"/>
  <c r="V31" i="13"/>
  <c r="U31" i="13"/>
  <c r="T31" i="13"/>
  <c r="S31" i="13"/>
  <c r="R31" i="13"/>
  <c r="Q31" i="13"/>
  <c r="P31" i="13"/>
  <c r="O31" i="13"/>
  <c r="N31" i="13"/>
  <c r="M31" i="13"/>
  <c r="L31" i="13"/>
  <c r="K31" i="13"/>
  <c r="J31" i="13"/>
  <c r="I31" i="13"/>
  <c r="H31" i="13"/>
  <c r="G31" i="13"/>
  <c r="F31" i="13"/>
  <c r="E31" i="13"/>
  <c r="D31" i="13"/>
  <c r="C31" i="13"/>
  <c r="B31" i="13"/>
  <c r="N61" i="13" s="1"/>
  <c r="Y30" i="13"/>
  <c r="Y36" i="13" s="1"/>
  <c r="X30" i="13"/>
  <c r="W30" i="13"/>
  <c r="V30" i="13"/>
  <c r="U30" i="13"/>
  <c r="T30" i="13"/>
  <c r="S30" i="13"/>
  <c r="R30" i="13"/>
  <c r="Q30" i="13"/>
  <c r="P30" i="13"/>
  <c r="O30" i="13"/>
  <c r="N30" i="13"/>
  <c r="M30" i="13"/>
  <c r="L30" i="13"/>
  <c r="K30" i="13"/>
  <c r="J30" i="13"/>
  <c r="I30" i="13"/>
  <c r="H30" i="13"/>
  <c r="G30" i="13"/>
  <c r="F30" i="13"/>
  <c r="E30" i="13"/>
  <c r="D30" i="13"/>
  <c r="C30" i="13"/>
  <c r="B30" i="13"/>
  <c r="K60" i="13" s="1"/>
  <c r="X29" i="13"/>
  <c r="X36" i="13" s="1"/>
  <c r="W29" i="13"/>
  <c r="V29" i="13"/>
  <c r="U29" i="13"/>
  <c r="T29" i="13"/>
  <c r="S29" i="13"/>
  <c r="R29" i="13"/>
  <c r="Q29" i="13"/>
  <c r="P29" i="13"/>
  <c r="O29" i="13"/>
  <c r="N29" i="13"/>
  <c r="M29" i="13"/>
  <c r="L29" i="13"/>
  <c r="K29" i="13"/>
  <c r="J29" i="13"/>
  <c r="I29" i="13"/>
  <c r="H29" i="13"/>
  <c r="G29" i="13"/>
  <c r="F29" i="13"/>
  <c r="E29" i="13"/>
  <c r="D29" i="13"/>
  <c r="C29" i="13"/>
  <c r="B29" i="13"/>
  <c r="K59" i="13" s="1"/>
  <c r="W28" i="13"/>
  <c r="W36" i="13" s="1"/>
  <c r="V28" i="13"/>
  <c r="U28" i="13"/>
  <c r="T28" i="13"/>
  <c r="S28" i="13"/>
  <c r="R28" i="13"/>
  <c r="Q28" i="13"/>
  <c r="P28" i="13"/>
  <c r="O28" i="13"/>
  <c r="N28" i="13"/>
  <c r="M28" i="13"/>
  <c r="L28" i="13"/>
  <c r="K28" i="13"/>
  <c r="J28" i="13"/>
  <c r="I28" i="13"/>
  <c r="H28" i="13"/>
  <c r="G28" i="13"/>
  <c r="F28" i="13"/>
  <c r="E28" i="13"/>
  <c r="D28" i="13"/>
  <c r="C28" i="13"/>
  <c r="B28" i="13"/>
  <c r="M58" i="13" s="1"/>
  <c r="V27" i="13"/>
  <c r="V36" i="13" s="1"/>
  <c r="U27" i="13"/>
  <c r="T27" i="13"/>
  <c r="S27" i="13"/>
  <c r="R27" i="13"/>
  <c r="Q27" i="13"/>
  <c r="P27" i="13"/>
  <c r="O27" i="13"/>
  <c r="N27" i="13"/>
  <c r="M27" i="13"/>
  <c r="L27" i="13"/>
  <c r="K27" i="13"/>
  <c r="J27" i="13"/>
  <c r="I27" i="13"/>
  <c r="H27" i="13"/>
  <c r="G27" i="13"/>
  <c r="F27" i="13"/>
  <c r="E27" i="13"/>
  <c r="D27" i="13"/>
  <c r="C27" i="13"/>
  <c r="B27" i="13"/>
  <c r="U57" i="13" s="1"/>
  <c r="U26" i="13"/>
  <c r="T26" i="13"/>
  <c r="S26" i="13"/>
  <c r="R26" i="13"/>
  <c r="Q26" i="13"/>
  <c r="P26" i="13"/>
  <c r="O26" i="13"/>
  <c r="N26" i="13"/>
  <c r="M26" i="13"/>
  <c r="L26" i="13"/>
  <c r="K26" i="13"/>
  <c r="J26" i="13"/>
  <c r="I26" i="13"/>
  <c r="H26" i="13"/>
  <c r="G26" i="13"/>
  <c r="F26" i="13"/>
  <c r="E26" i="13"/>
  <c r="D26" i="13"/>
  <c r="C26" i="13"/>
  <c r="B26" i="13"/>
  <c r="G56" i="13" s="1"/>
  <c r="T25" i="13"/>
  <c r="S25" i="13"/>
  <c r="R25" i="13"/>
  <c r="Q25" i="13"/>
  <c r="P25" i="13"/>
  <c r="O25" i="13"/>
  <c r="N25" i="13"/>
  <c r="M25" i="13"/>
  <c r="L25" i="13"/>
  <c r="K25" i="13"/>
  <c r="J25" i="13"/>
  <c r="I25" i="13"/>
  <c r="H25" i="13"/>
  <c r="G25" i="13"/>
  <c r="F25" i="13"/>
  <c r="E25" i="13"/>
  <c r="D25" i="13"/>
  <c r="C25" i="13"/>
  <c r="B25" i="13"/>
  <c r="W55" i="13" s="1"/>
  <c r="S24" i="13"/>
  <c r="R24" i="13"/>
  <c r="Q24" i="13"/>
  <c r="P24" i="13"/>
  <c r="O24" i="13"/>
  <c r="N24" i="13"/>
  <c r="M24" i="13"/>
  <c r="L24" i="13"/>
  <c r="K24" i="13"/>
  <c r="J24" i="13"/>
  <c r="I24" i="13"/>
  <c r="H24" i="13"/>
  <c r="G24" i="13"/>
  <c r="F24" i="13"/>
  <c r="E24" i="13"/>
  <c r="D24" i="13"/>
  <c r="C24" i="13"/>
  <c r="B24" i="13"/>
  <c r="T54" i="13" s="1"/>
  <c r="R23" i="13"/>
  <c r="Q23" i="13"/>
  <c r="P23" i="13"/>
  <c r="O23" i="13"/>
  <c r="N23" i="13"/>
  <c r="M23" i="13"/>
  <c r="L23" i="13"/>
  <c r="K23" i="13"/>
  <c r="J23" i="13"/>
  <c r="I23" i="13"/>
  <c r="H23" i="13"/>
  <c r="G23" i="13"/>
  <c r="F23" i="13"/>
  <c r="E23" i="13"/>
  <c r="D23" i="13"/>
  <c r="C23" i="13"/>
  <c r="B23" i="13"/>
  <c r="N53" i="13" s="1"/>
  <c r="Q22" i="13"/>
  <c r="P22" i="13"/>
  <c r="O22" i="13"/>
  <c r="N22" i="13"/>
  <c r="M22" i="13"/>
  <c r="L22" i="13"/>
  <c r="K22" i="13"/>
  <c r="J22" i="13"/>
  <c r="I22" i="13"/>
  <c r="H22" i="13"/>
  <c r="G22" i="13"/>
  <c r="F22" i="13"/>
  <c r="E22" i="13"/>
  <c r="D22" i="13"/>
  <c r="C22" i="13"/>
  <c r="B22" i="13"/>
  <c r="C52" i="13" s="1"/>
  <c r="P21" i="13"/>
  <c r="O21" i="13"/>
  <c r="N21" i="13"/>
  <c r="M21" i="13"/>
  <c r="L21" i="13"/>
  <c r="K21" i="13"/>
  <c r="J21" i="13"/>
  <c r="I21" i="13"/>
  <c r="H21" i="13"/>
  <c r="G21" i="13"/>
  <c r="F21" i="13"/>
  <c r="E21" i="13"/>
  <c r="D21" i="13"/>
  <c r="C21" i="13"/>
  <c r="B21" i="13"/>
  <c r="C51" i="13" s="1"/>
  <c r="O20" i="13"/>
  <c r="N20" i="13"/>
  <c r="M20" i="13"/>
  <c r="L20" i="13"/>
  <c r="K20" i="13"/>
  <c r="J20" i="13"/>
  <c r="I20" i="13"/>
  <c r="H20" i="13"/>
  <c r="G20" i="13"/>
  <c r="F20" i="13"/>
  <c r="E20" i="13"/>
  <c r="D20" i="13"/>
  <c r="C20" i="13"/>
  <c r="B20" i="13"/>
  <c r="H50" i="13" s="1"/>
  <c r="N19" i="13"/>
  <c r="M19" i="13"/>
  <c r="L19" i="13"/>
  <c r="K19" i="13"/>
  <c r="J19" i="13"/>
  <c r="I19" i="13"/>
  <c r="H19" i="13"/>
  <c r="G19" i="13"/>
  <c r="F19" i="13"/>
  <c r="E19" i="13"/>
  <c r="D19" i="13"/>
  <c r="C19" i="13"/>
  <c r="B19" i="13"/>
  <c r="R49" i="13" s="1"/>
  <c r="M18" i="13"/>
  <c r="L18" i="13"/>
  <c r="K18" i="13"/>
  <c r="J18" i="13"/>
  <c r="I18" i="13"/>
  <c r="H18" i="13"/>
  <c r="G18" i="13"/>
  <c r="F18" i="13"/>
  <c r="E18" i="13"/>
  <c r="D18" i="13"/>
  <c r="C18" i="13"/>
  <c r="B18" i="13"/>
  <c r="Z48" i="13" s="1"/>
  <c r="L17" i="13"/>
  <c r="K17" i="13"/>
  <c r="J17" i="13"/>
  <c r="I17" i="13"/>
  <c r="H17" i="13"/>
  <c r="G17" i="13"/>
  <c r="F17" i="13"/>
  <c r="E17" i="13"/>
  <c r="D17" i="13"/>
  <c r="C17" i="13"/>
  <c r="B17" i="13"/>
  <c r="G47" i="13" s="1"/>
  <c r="K16" i="13"/>
  <c r="K36" i="13" s="1"/>
  <c r="J16" i="13"/>
  <c r="I16" i="13"/>
  <c r="H16" i="13"/>
  <c r="G16" i="13"/>
  <c r="F16" i="13"/>
  <c r="E16" i="13"/>
  <c r="D16" i="13"/>
  <c r="C16" i="13"/>
  <c r="B16" i="13"/>
  <c r="D46" i="13" s="1"/>
  <c r="J15" i="13"/>
  <c r="I15" i="13"/>
  <c r="H15" i="13"/>
  <c r="G15" i="13"/>
  <c r="F15" i="13"/>
  <c r="E15" i="13"/>
  <c r="D15" i="13"/>
  <c r="C15" i="13"/>
  <c r="B15" i="13"/>
  <c r="Y45" i="13" s="1"/>
  <c r="I14" i="13"/>
  <c r="H14" i="13"/>
  <c r="G14" i="13"/>
  <c r="F14" i="13"/>
  <c r="E14" i="13"/>
  <c r="D14" i="13"/>
  <c r="C14" i="13"/>
  <c r="B14" i="13"/>
  <c r="AA44" i="13" s="1"/>
  <c r="H13" i="13"/>
  <c r="G13" i="13"/>
  <c r="F13" i="13"/>
  <c r="E13" i="13"/>
  <c r="D13" i="13"/>
  <c r="C13" i="13"/>
  <c r="B13" i="13"/>
  <c r="AA43" i="13" s="1"/>
  <c r="G12" i="13"/>
  <c r="F12" i="13"/>
  <c r="E12" i="13"/>
  <c r="D12" i="13"/>
  <c r="C12" i="13"/>
  <c r="B12" i="13"/>
  <c r="U42" i="13" s="1"/>
  <c r="F11" i="13"/>
  <c r="E11" i="13"/>
  <c r="D11" i="13"/>
  <c r="C11" i="13"/>
  <c r="B11" i="13"/>
  <c r="B41" i="13" s="1"/>
  <c r="C10" i="13"/>
  <c r="B10" i="13"/>
  <c r="D9" i="13"/>
  <c r="B9" i="13"/>
  <c r="B8" i="13"/>
  <c r="B7" i="13"/>
  <c r="X37" i="13" s="1"/>
  <c r="T52" i="12"/>
  <c r="O45" i="12"/>
  <c r="AB36" i="12"/>
  <c r="AA32" i="12"/>
  <c r="AA36" i="12" s="1"/>
  <c r="Z32" i="12"/>
  <c r="Y32" i="12"/>
  <c r="X32" i="12"/>
  <c r="W32" i="12"/>
  <c r="V32" i="12"/>
  <c r="U32" i="12"/>
  <c r="T32" i="12"/>
  <c r="S32" i="12"/>
  <c r="R32" i="12"/>
  <c r="Q32" i="12"/>
  <c r="P32" i="12"/>
  <c r="O32" i="12"/>
  <c r="N32" i="12"/>
  <c r="M32" i="12"/>
  <c r="L32" i="12"/>
  <c r="K32" i="12"/>
  <c r="J32" i="12"/>
  <c r="I32" i="12"/>
  <c r="H32" i="12"/>
  <c r="G32" i="12"/>
  <c r="F32" i="12"/>
  <c r="E32" i="12"/>
  <c r="D32" i="12"/>
  <c r="C32" i="12"/>
  <c r="B32" i="12"/>
  <c r="Z31" i="12"/>
  <c r="Z36" i="12" s="1"/>
  <c r="Y31" i="12"/>
  <c r="X31" i="12"/>
  <c r="W31" i="12"/>
  <c r="V31" i="12"/>
  <c r="U31" i="12"/>
  <c r="T31" i="12"/>
  <c r="S31" i="12"/>
  <c r="R31" i="12"/>
  <c r="Q31" i="12"/>
  <c r="P31" i="12"/>
  <c r="O31" i="12"/>
  <c r="N31" i="12"/>
  <c r="M31" i="12"/>
  <c r="L31" i="12"/>
  <c r="K31" i="12"/>
  <c r="J31" i="12"/>
  <c r="I31" i="12"/>
  <c r="H31" i="12"/>
  <c r="G31" i="12"/>
  <c r="F31" i="12"/>
  <c r="E31" i="12"/>
  <c r="D31" i="12"/>
  <c r="C31" i="12"/>
  <c r="B31" i="12"/>
  <c r="O61" i="12" s="1"/>
  <c r="Y30" i="12"/>
  <c r="Y36" i="12" s="1"/>
  <c r="X30" i="12"/>
  <c r="W30" i="12"/>
  <c r="V30" i="12"/>
  <c r="U30" i="12"/>
  <c r="T30" i="12"/>
  <c r="S30" i="12"/>
  <c r="R30" i="12"/>
  <c r="Q30" i="12"/>
  <c r="P30" i="12"/>
  <c r="O30" i="12"/>
  <c r="N30" i="12"/>
  <c r="M30" i="12"/>
  <c r="L30" i="12"/>
  <c r="K30" i="12"/>
  <c r="J30" i="12"/>
  <c r="I30" i="12"/>
  <c r="H30" i="12"/>
  <c r="G30" i="12"/>
  <c r="F30" i="12"/>
  <c r="E30" i="12"/>
  <c r="D30" i="12"/>
  <c r="C30" i="12"/>
  <c r="B30" i="12"/>
  <c r="AB60" i="12" s="1"/>
  <c r="X29" i="12"/>
  <c r="X36" i="12" s="1"/>
  <c r="W29" i="12"/>
  <c r="V29" i="12"/>
  <c r="U29" i="12"/>
  <c r="T29" i="12"/>
  <c r="S29" i="12"/>
  <c r="R29" i="12"/>
  <c r="Q29" i="12"/>
  <c r="P29" i="12"/>
  <c r="O29" i="12"/>
  <c r="N29" i="12"/>
  <c r="M29" i="12"/>
  <c r="L29" i="12"/>
  <c r="K29" i="12"/>
  <c r="J29" i="12"/>
  <c r="I29" i="12"/>
  <c r="H29" i="12"/>
  <c r="G29" i="12"/>
  <c r="F29" i="12"/>
  <c r="E29" i="12"/>
  <c r="D29" i="12"/>
  <c r="C29" i="12"/>
  <c r="B29" i="12"/>
  <c r="Q59" i="12" s="1"/>
  <c r="W28" i="12"/>
  <c r="W36" i="12" s="1"/>
  <c r="V28" i="12"/>
  <c r="U28" i="12"/>
  <c r="T28" i="12"/>
  <c r="S28" i="12"/>
  <c r="R28" i="12"/>
  <c r="Q28" i="12"/>
  <c r="P28" i="12"/>
  <c r="O28" i="12"/>
  <c r="N28" i="12"/>
  <c r="M28" i="12"/>
  <c r="L28" i="12"/>
  <c r="K28" i="12"/>
  <c r="J28" i="12"/>
  <c r="I28" i="12"/>
  <c r="H28" i="12"/>
  <c r="G28" i="12"/>
  <c r="F28" i="12"/>
  <c r="E28" i="12"/>
  <c r="D28" i="12"/>
  <c r="C28" i="12"/>
  <c r="B28" i="12"/>
  <c r="V58" i="12" s="1"/>
  <c r="V27" i="12"/>
  <c r="U27" i="12"/>
  <c r="T27" i="12"/>
  <c r="S27" i="12"/>
  <c r="R27" i="12"/>
  <c r="Q27" i="12"/>
  <c r="P27" i="12"/>
  <c r="O27" i="12"/>
  <c r="N27" i="12"/>
  <c r="M27" i="12"/>
  <c r="L27" i="12"/>
  <c r="K27" i="12"/>
  <c r="J27" i="12"/>
  <c r="I27" i="12"/>
  <c r="H27" i="12"/>
  <c r="G27" i="12"/>
  <c r="F27" i="12"/>
  <c r="E27" i="12"/>
  <c r="D27" i="12"/>
  <c r="C27" i="12"/>
  <c r="B27" i="12"/>
  <c r="K57" i="12" s="1"/>
  <c r="U26" i="12"/>
  <c r="T26" i="12"/>
  <c r="S26" i="12"/>
  <c r="R26" i="12"/>
  <c r="Q26" i="12"/>
  <c r="P26" i="12"/>
  <c r="O26" i="12"/>
  <c r="N26" i="12"/>
  <c r="M26" i="12"/>
  <c r="L26" i="12"/>
  <c r="K26" i="12"/>
  <c r="J26" i="12"/>
  <c r="I26" i="12"/>
  <c r="H26" i="12"/>
  <c r="G26" i="12"/>
  <c r="F26" i="12"/>
  <c r="E26" i="12"/>
  <c r="D26" i="12"/>
  <c r="C26" i="12"/>
  <c r="B26" i="12"/>
  <c r="X56" i="12" s="1"/>
  <c r="T25" i="12"/>
  <c r="S25" i="12"/>
  <c r="R25" i="12"/>
  <c r="Q25" i="12"/>
  <c r="P25" i="12"/>
  <c r="O25" i="12"/>
  <c r="N25" i="12"/>
  <c r="M25" i="12"/>
  <c r="L25" i="12"/>
  <c r="K25" i="12"/>
  <c r="J25" i="12"/>
  <c r="I25" i="12"/>
  <c r="H25" i="12"/>
  <c r="G25" i="12"/>
  <c r="F25" i="12"/>
  <c r="E25" i="12"/>
  <c r="D25" i="12"/>
  <c r="C25" i="12"/>
  <c r="B25" i="12"/>
  <c r="S24" i="12"/>
  <c r="R24" i="12"/>
  <c r="Q24" i="12"/>
  <c r="P24" i="12"/>
  <c r="O24" i="12"/>
  <c r="N24" i="12"/>
  <c r="M24" i="12"/>
  <c r="L24" i="12"/>
  <c r="K24" i="12"/>
  <c r="J24" i="12"/>
  <c r="I24" i="12"/>
  <c r="H24" i="12"/>
  <c r="G24" i="12"/>
  <c r="F24" i="12"/>
  <c r="E24" i="12"/>
  <c r="D24" i="12"/>
  <c r="C24" i="12"/>
  <c r="B24" i="12"/>
  <c r="R23" i="12"/>
  <c r="Q23" i="12"/>
  <c r="P23" i="12"/>
  <c r="O23" i="12"/>
  <c r="N23" i="12"/>
  <c r="M23" i="12"/>
  <c r="L23" i="12"/>
  <c r="K23" i="12"/>
  <c r="J23" i="12"/>
  <c r="I23" i="12"/>
  <c r="H23" i="12"/>
  <c r="G23" i="12"/>
  <c r="F23" i="12"/>
  <c r="E23" i="12"/>
  <c r="D23" i="12"/>
  <c r="C23" i="12"/>
  <c r="B23" i="12"/>
  <c r="W53" i="12" s="1"/>
  <c r="Q22" i="12"/>
  <c r="P22" i="12"/>
  <c r="O22" i="12"/>
  <c r="N22" i="12"/>
  <c r="M22" i="12"/>
  <c r="L22" i="12"/>
  <c r="K22" i="12"/>
  <c r="J22" i="12"/>
  <c r="I22" i="12"/>
  <c r="H22" i="12"/>
  <c r="G22" i="12"/>
  <c r="F22" i="12"/>
  <c r="E22" i="12"/>
  <c r="D22" i="12"/>
  <c r="C22" i="12"/>
  <c r="B22" i="12"/>
  <c r="AB52" i="12" s="1"/>
  <c r="P21" i="12"/>
  <c r="O21" i="12"/>
  <c r="N21" i="12"/>
  <c r="M21" i="12"/>
  <c r="L21" i="12"/>
  <c r="K21" i="12"/>
  <c r="J21" i="12"/>
  <c r="I21" i="12"/>
  <c r="H21" i="12"/>
  <c r="G21" i="12"/>
  <c r="F21" i="12"/>
  <c r="E21" i="12"/>
  <c r="D21" i="12"/>
  <c r="C21" i="12"/>
  <c r="B21" i="12"/>
  <c r="Q51" i="12" s="1"/>
  <c r="O20" i="12"/>
  <c r="N20" i="12"/>
  <c r="M20" i="12"/>
  <c r="L20" i="12"/>
  <c r="K20" i="12"/>
  <c r="J20" i="12"/>
  <c r="I20" i="12"/>
  <c r="H20" i="12"/>
  <c r="G20" i="12"/>
  <c r="F20" i="12"/>
  <c r="E20" i="12"/>
  <c r="D20" i="12"/>
  <c r="C20" i="12"/>
  <c r="B20" i="12"/>
  <c r="V50" i="12" s="1"/>
  <c r="N19" i="12"/>
  <c r="M19" i="12"/>
  <c r="L19" i="12"/>
  <c r="K19" i="12"/>
  <c r="J19" i="12"/>
  <c r="I19" i="12"/>
  <c r="H19" i="12"/>
  <c r="G19" i="12"/>
  <c r="F19" i="12"/>
  <c r="E19" i="12"/>
  <c r="D19" i="12"/>
  <c r="C19" i="12"/>
  <c r="B19" i="12"/>
  <c r="AA49" i="12" s="1"/>
  <c r="M18" i="12"/>
  <c r="L18" i="12"/>
  <c r="K18" i="12"/>
  <c r="J18" i="12"/>
  <c r="I18" i="12"/>
  <c r="H18" i="12"/>
  <c r="G18" i="12"/>
  <c r="F18" i="12"/>
  <c r="E18" i="12"/>
  <c r="D18" i="12"/>
  <c r="C18" i="12"/>
  <c r="B18" i="12"/>
  <c r="X48" i="12" s="1"/>
  <c r="L17" i="12"/>
  <c r="K17" i="12"/>
  <c r="J17" i="12"/>
  <c r="I17" i="12"/>
  <c r="H17" i="12"/>
  <c r="G17" i="12"/>
  <c r="F17" i="12"/>
  <c r="E17" i="12"/>
  <c r="D17" i="12"/>
  <c r="C17" i="12"/>
  <c r="B17" i="12"/>
  <c r="U47" i="12" s="1"/>
  <c r="K16" i="12"/>
  <c r="J16" i="12"/>
  <c r="I16" i="12"/>
  <c r="H16" i="12"/>
  <c r="G16" i="12"/>
  <c r="F16" i="12"/>
  <c r="E16" i="12"/>
  <c r="D16" i="12"/>
  <c r="C16" i="12"/>
  <c r="B16" i="12"/>
  <c r="J46" i="12" s="1"/>
  <c r="J15" i="12"/>
  <c r="I15" i="12"/>
  <c r="H15" i="12"/>
  <c r="G15" i="12"/>
  <c r="F15" i="12"/>
  <c r="E15" i="12"/>
  <c r="D15" i="12"/>
  <c r="C15" i="12"/>
  <c r="B15" i="12"/>
  <c r="W45" i="12" s="1"/>
  <c r="I14" i="12"/>
  <c r="H14" i="12"/>
  <c r="G14" i="12"/>
  <c r="F14" i="12"/>
  <c r="E14" i="12"/>
  <c r="D14" i="12"/>
  <c r="C14" i="12"/>
  <c r="B14" i="12"/>
  <c r="H13" i="12"/>
  <c r="G13" i="12"/>
  <c r="F13" i="12"/>
  <c r="E13" i="12"/>
  <c r="D13" i="12"/>
  <c r="C13" i="12"/>
  <c r="B13" i="12"/>
  <c r="Y43" i="12" s="1"/>
  <c r="G12" i="12"/>
  <c r="F12" i="12"/>
  <c r="E12" i="12"/>
  <c r="D12" i="12"/>
  <c r="C12" i="12"/>
  <c r="B12" i="12"/>
  <c r="N42" i="12" s="1"/>
  <c r="F11" i="12"/>
  <c r="E11" i="12"/>
  <c r="D11" i="12"/>
  <c r="C11" i="12"/>
  <c r="B11" i="12"/>
  <c r="K41" i="12" s="1"/>
  <c r="D10" i="12"/>
  <c r="C10" i="12"/>
  <c r="B10" i="12"/>
  <c r="D9" i="12"/>
  <c r="B9" i="12"/>
  <c r="C8" i="12"/>
  <c r="B8" i="12"/>
  <c r="B7" i="12"/>
  <c r="Z37" i="12" s="1"/>
  <c r="D52" i="11"/>
  <c r="AB36" i="11"/>
  <c r="AA32" i="11"/>
  <c r="AA36" i="11" s="1"/>
  <c r="Z32" i="11"/>
  <c r="Y32" i="11"/>
  <c r="X32" i="11"/>
  <c r="W32" i="11"/>
  <c r="V32" i="11"/>
  <c r="U32" i="11"/>
  <c r="T32" i="11"/>
  <c r="S32" i="11"/>
  <c r="R32" i="11"/>
  <c r="Q32" i="11"/>
  <c r="P32" i="11"/>
  <c r="O32" i="11"/>
  <c r="N32" i="11"/>
  <c r="M32" i="11"/>
  <c r="L32" i="11"/>
  <c r="K32" i="11"/>
  <c r="J32" i="11"/>
  <c r="I32" i="11"/>
  <c r="H32" i="11"/>
  <c r="G32" i="11"/>
  <c r="F32" i="11"/>
  <c r="E32" i="11"/>
  <c r="D32" i="11"/>
  <c r="C32" i="11"/>
  <c r="B32" i="11"/>
  <c r="Z31" i="11"/>
  <c r="Z36" i="11" s="1"/>
  <c r="Y31" i="11"/>
  <c r="X31" i="11"/>
  <c r="W31" i="11"/>
  <c r="V31" i="11"/>
  <c r="U31" i="11"/>
  <c r="T31" i="11"/>
  <c r="S31" i="11"/>
  <c r="R31" i="11"/>
  <c r="Q31" i="11"/>
  <c r="P31" i="11"/>
  <c r="O31" i="11"/>
  <c r="N31" i="11"/>
  <c r="M31" i="11"/>
  <c r="L31" i="11"/>
  <c r="K31" i="11"/>
  <c r="J31" i="11"/>
  <c r="I31" i="11"/>
  <c r="H31" i="11"/>
  <c r="G31" i="11"/>
  <c r="F31" i="11"/>
  <c r="E31" i="11"/>
  <c r="D31" i="11"/>
  <c r="C31" i="11"/>
  <c r="B31" i="11"/>
  <c r="O61" i="11" s="1"/>
  <c r="Y30" i="11"/>
  <c r="Y36" i="11" s="1"/>
  <c r="X30" i="11"/>
  <c r="W30" i="11"/>
  <c r="V30" i="11"/>
  <c r="U30" i="11"/>
  <c r="T30" i="11"/>
  <c r="S30" i="11"/>
  <c r="R30" i="11"/>
  <c r="Q30" i="11"/>
  <c r="P30" i="11"/>
  <c r="O30" i="11"/>
  <c r="N30" i="11"/>
  <c r="M30" i="11"/>
  <c r="L30" i="11"/>
  <c r="K30" i="11"/>
  <c r="J30" i="11"/>
  <c r="I30" i="11"/>
  <c r="H30" i="11"/>
  <c r="G30" i="11"/>
  <c r="F30" i="11"/>
  <c r="E30" i="11"/>
  <c r="D30" i="11"/>
  <c r="C30" i="11"/>
  <c r="B30" i="11"/>
  <c r="AB60" i="11" s="1"/>
  <c r="X29" i="11"/>
  <c r="X36" i="11" s="1"/>
  <c r="W29" i="11"/>
  <c r="V29" i="11"/>
  <c r="U29" i="11"/>
  <c r="T29" i="11"/>
  <c r="S29" i="11"/>
  <c r="R29" i="11"/>
  <c r="Q29" i="11"/>
  <c r="P29" i="11"/>
  <c r="O29" i="11"/>
  <c r="N29" i="11"/>
  <c r="M29" i="11"/>
  <c r="L29" i="11"/>
  <c r="K29" i="11"/>
  <c r="J29" i="11"/>
  <c r="I29" i="11"/>
  <c r="H29" i="11"/>
  <c r="G29" i="11"/>
  <c r="F29" i="11"/>
  <c r="E29" i="11"/>
  <c r="D29" i="11"/>
  <c r="C29" i="11"/>
  <c r="B29" i="11"/>
  <c r="Q59" i="11" s="1"/>
  <c r="W28" i="11"/>
  <c r="W36" i="11" s="1"/>
  <c r="V28" i="11"/>
  <c r="U28" i="11"/>
  <c r="T28" i="11"/>
  <c r="S28" i="11"/>
  <c r="R28" i="11"/>
  <c r="Q28" i="11"/>
  <c r="P28" i="11"/>
  <c r="O28" i="11"/>
  <c r="N28" i="11"/>
  <c r="M28" i="11"/>
  <c r="L28" i="11"/>
  <c r="K28" i="11"/>
  <c r="J28" i="11"/>
  <c r="I28" i="11"/>
  <c r="H28" i="11"/>
  <c r="G28" i="11"/>
  <c r="F28" i="11"/>
  <c r="E28" i="11"/>
  <c r="D28" i="11"/>
  <c r="C28" i="11"/>
  <c r="B28" i="11"/>
  <c r="V58" i="11" s="1"/>
  <c r="V27" i="11"/>
  <c r="U27" i="11"/>
  <c r="T27" i="11"/>
  <c r="S27" i="11"/>
  <c r="R27" i="11"/>
  <c r="Q27" i="11"/>
  <c r="P27" i="11"/>
  <c r="O27" i="11"/>
  <c r="N27" i="11"/>
  <c r="M27" i="11"/>
  <c r="L27" i="11"/>
  <c r="K27" i="11"/>
  <c r="J27" i="11"/>
  <c r="I27" i="11"/>
  <c r="H27" i="11"/>
  <c r="G27" i="11"/>
  <c r="F27" i="11"/>
  <c r="E27" i="11"/>
  <c r="D27" i="11"/>
  <c r="C27" i="11"/>
  <c r="B27" i="11"/>
  <c r="K57" i="11" s="1"/>
  <c r="U26" i="11"/>
  <c r="T26" i="11"/>
  <c r="S26" i="11"/>
  <c r="R26" i="11"/>
  <c r="Q26" i="11"/>
  <c r="P26" i="11"/>
  <c r="O26" i="11"/>
  <c r="N26" i="11"/>
  <c r="M26" i="11"/>
  <c r="L26" i="11"/>
  <c r="K26" i="11"/>
  <c r="J26" i="11"/>
  <c r="I26" i="11"/>
  <c r="H26" i="11"/>
  <c r="G26" i="11"/>
  <c r="F26" i="11"/>
  <c r="E26" i="11"/>
  <c r="D26" i="11"/>
  <c r="C26" i="11"/>
  <c r="B26" i="11"/>
  <c r="X56" i="11" s="1"/>
  <c r="T25" i="11"/>
  <c r="S25" i="11"/>
  <c r="R25" i="11"/>
  <c r="Q25" i="11"/>
  <c r="P25" i="11"/>
  <c r="O25" i="11"/>
  <c r="N25" i="11"/>
  <c r="M25" i="11"/>
  <c r="L25" i="11"/>
  <c r="K25" i="11"/>
  <c r="J25" i="11"/>
  <c r="I25" i="11"/>
  <c r="H25" i="11"/>
  <c r="G25" i="11"/>
  <c r="F25" i="11"/>
  <c r="E25" i="11"/>
  <c r="D25" i="11"/>
  <c r="C25" i="11"/>
  <c r="B25" i="11"/>
  <c r="S24" i="11"/>
  <c r="R24" i="11"/>
  <c r="Q24" i="11"/>
  <c r="P24" i="11"/>
  <c r="O24" i="11"/>
  <c r="N24" i="11"/>
  <c r="M24" i="11"/>
  <c r="L24" i="11"/>
  <c r="K24" i="11"/>
  <c r="J24" i="11"/>
  <c r="I24" i="11"/>
  <c r="H24" i="11"/>
  <c r="G24" i="11"/>
  <c r="F24" i="11"/>
  <c r="E24" i="11"/>
  <c r="D24" i="11"/>
  <c r="C24" i="11"/>
  <c r="B24" i="11"/>
  <c r="Z54" i="11" s="1"/>
  <c r="R23" i="11"/>
  <c r="Q23" i="11"/>
  <c r="P23" i="11"/>
  <c r="O23" i="11"/>
  <c r="N23" i="11"/>
  <c r="M23" i="11"/>
  <c r="L23" i="11"/>
  <c r="K23" i="11"/>
  <c r="J23" i="11"/>
  <c r="I23" i="11"/>
  <c r="H23" i="11"/>
  <c r="G23" i="11"/>
  <c r="F23" i="11"/>
  <c r="E23" i="11"/>
  <c r="D23" i="11"/>
  <c r="C23" i="11"/>
  <c r="B23" i="11"/>
  <c r="W53" i="11" s="1"/>
  <c r="Q22" i="11"/>
  <c r="P22" i="11"/>
  <c r="O22" i="11"/>
  <c r="N22" i="11"/>
  <c r="M22" i="11"/>
  <c r="L22" i="11"/>
  <c r="K22" i="11"/>
  <c r="J22" i="11"/>
  <c r="I22" i="11"/>
  <c r="H22" i="11"/>
  <c r="G22" i="11"/>
  <c r="F22" i="11"/>
  <c r="E22" i="11"/>
  <c r="D22" i="11"/>
  <c r="C22" i="11"/>
  <c r="B22" i="11"/>
  <c r="AB52" i="11" s="1"/>
  <c r="P21" i="11"/>
  <c r="O21" i="11"/>
  <c r="N21" i="11"/>
  <c r="M21" i="11"/>
  <c r="L21" i="11"/>
  <c r="K21" i="11"/>
  <c r="J21" i="11"/>
  <c r="I21" i="11"/>
  <c r="H21" i="11"/>
  <c r="G21" i="11"/>
  <c r="F21" i="11"/>
  <c r="E21" i="11"/>
  <c r="D21" i="11"/>
  <c r="C21" i="11"/>
  <c r="B21" i="11"/>
  <c r="I51" i="11" s="1"/>
  <c r="O20" i="11"/>
  <c r="N20" i="11"/>
  <c r="M20" i="11"/>
  <c r="L20" i="11"/>
  <c r="K20" i="11"/>
  <c r="J20" i="11"/>
  <c r="I20" i="11"/>
  <c r="H20" i="11"/>
  <c r="G20" i="11"/>
  <c r="F20" i="11"/>
  <c r="E20" i="11"/>
  <c r="D20" i="11"/>
  <c r="C20" i="11"/>
  <c r="B20" i="11"/>
  <c r="F50" i="11" s="1"/>
  <c r="N19" i="11"/>
  <c r="M19" i="11"/>
  <c r="L19" i="11"/>
  <c r="K19" i="11"/>
  <c r="J19" i="11"/>
  <c r="I19" i="11"/>
  <c r="H19" i="11"/>
  <c r="G19" i="11"/>
  <c r="F19" i="11"/>
  <c r="E19" i="11"/>
  <c r="D19" i="11"/>
  <c r="C19" i="11"/>
  <c r="B19" i="11"/>
  <c r="AA49" i="11" s="1"/>
  <c r="M18" i="11"/>
  <c r="L18" i="11"/>
  <c r="K18" i="11"/>
  <c r="J18" i="11"/>
  <c r="I18" i="11"/>
  <c r="H18" i="11"/>
  <c r="G18" i="11"/>
  <c r="F18" i="11"/>
  <c r="E18" i="11"/>
  <c r="D18" i="11"/>
  <c r="C18" i="11"/>
  <c r="B18" i="11"/>
  <c r="L17" i="11"/>
  <c r="K17" i="11"/>
  <c r="J17" i="11"/>
  <c r="I17" i="11"/>
  <c r="H17" i="11"/>
  <c r="G17" i="11"/>
  <c r="F17" i="11"/>
  <c r="E17" i="11"/>
  <c r="D17" i="11"/>
  <c r="C17" i="11"/>
  <c r="B17" i="11"/>
  <c r="E47" i="11" s="1"/>
  <c r="K16" i="11"/>
  <c r="J16" i="11"/>
  <c r="I16" i="11"/>
  <c r="H16" i="11"/>
  <c r="G16" i="11"/>
  <c r="F16" i="11"/>
  <c r="E16" i="11"/>
  <c r="D16" i="11"/>
  <c r="C16" i="11"/>
  <c r="B16" i="11"/>
  <c r="J46" i="11" s="1"/>
  <c r="J15" i="11"/>
  <c r="I15" i="11"/>
  <c r="H15" i="11"/>
  <c r="G15" i="11"/>
  <c r="F15" i="11"/>
  <c r="E15" i="11"/>
  <c r="D15" i="11"/>
  <c r="C15" i="11"/>
  <c r="B15" i="11"/>
  <c r="W45" i="11" s="1"/>
  <c r="I14" i="11"/>
  <c r="H14" i="11"/>
  <c r="G14" i="11"/>
  <c r="F14" i="11"/>
  <c r="E14" i="11"/>
  <c r="D14" i="11"/>
  <c r="C14" i="11"/>
  <c r="B14" i="11"/>
  <c r="H13" i="11"/>
  <c r="G13" i="11"/>
  <c r="F13" i="11"/>
  <c r="E13" i="11"/>
  <c r="D13" i="11"/>
  <c r="C13" i="11"/>
  <c r="B13" i="11"/>
  <c r="Y43" i="11" s="1"/>
  <c r="G12" i="11"/>
  <c r="F12" i="11"/>
  <c r="E12" i="11"/>
  <c r="D12" i="11"/>
  <c r="C12" i="11"/>
  <c r="B12" i="11"/>
  <c r="V42" i="11" s="1"/>
  <c r="F11" i="11"/>
  <c r="E11" i="11"/>
  <c r="D11" i="11"/>
  <c r="C11" i="11"/>
  <c r="B11" i="11"/>
  <c r="K41" i="11" s="1"/>
  <c r="E10" i="11"/>
  <c r="D10" i="11"/>
  <c r="C10" i="11"/>
  <c r="B10" i="11"/>
  <c r="D9" i="11"/>
  <c r="B9" i="11"/>
  <c r="B8" i="11"/>
  <c r="C9" i="11"/>
  <c r="B7" i="11"/>
  <c r="Z37" i="11" s="1"/>
  <c r="C62" i="10"/>
  <c r="S58"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B60"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C58" i="10"/>
  <c r="D58" i="10"/>
  <c r="E58" i="10"/>
  <c r="F58" i="10"/>
  <c r="G58" i="10"/>
  <c r="H58" i="10"/>
  <c r="I58" i="10"/>
  <c r="J58" i="10"/>
  <c r="K58" i="10"/>
  <c r="L58" i="10"/>
  <c r="M58" i="10"/>
  <c r="N58" i="10"/>
  <c r="O58" i="10"/>
  <c r="P58" i="10"/>
  <c r="Q58" i="10"/>
  <c r="R58" i="10"/>
  <c r="T58" i="10"/>
  <c r="U58" i="10"/>
  <c r="V58" i="10"/>
  <c r="W58" i="10"/>
  <c r="X58" i="10"/>
  <c r="Y58" i="10"/>
  <c r="Z58" i="10"/>
  <c r="AA58" i="10"/>
  <c r="AB58" i="10"/>
  <c r="A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H36" i="10"/>
  <c r="I36" i="10"/>
  <c r="J36" i="10"/>
  <c r="K36" i="10"/>
  <c r="L36" i="10"/>
  <c r="M36" i="10"/>
  <c r="N36" i="10"/>
  <c r="O36" i="10"/>
  <c r="P36" i="10"/>
  <c r="Q36" i="10"/>
  <c r="R36" i="10"/>
  <c r="S36" i="10"/>
  <c r="T36" i="10"/>
  <c r="U36" i="10"/>
  <c r="V36" i="10"/>
  <c r="W36" i="10"/>
  <c r="X36" i="10"/>
  <c r="Y36" i="10"/>
  <c r="Z36" i="10"/>
  <c r="AA36" i="10"/>
  <c r="AB36" i="10"/>
  <c r="F36" i="10"/>
  <c r="G36" i="10"/>
  <c r="B62" i="10"/>
  <c r="B61" i="10"/>
  <c r="AC61" i="10" s="1"/>
  <c r="B59" i="10"/>
  <c r="B58" i="10"/>
  <c r="B57" i="10"/>
  <c r="B56" i="10"/>
  <c r="B55" i="10"/>
  <c r="B54" i="10"/>
  <c r="B53" i="10"/>
  <c r="B50" i="10"/>
  <c r="B52" i="10"/>
  <c r="B48" i="10"/>
  <c r="B47" i="10"/>
  <c r="H33" i="4"/>
  <c r="H34" i="4"/>
  <c r="H32" i="4"/>
  <c r="H30" i="4"/>
  <c r="H16" i="4"/>
  <c r="H17" i="4"/>
  <c r="H18" i="4"/>
  <c r="H19" i="4"/>
  <c r="H20" i="4"/>
  <c r="H21" i="4"/>
  <c r="H22" i="4"/>
  <c r="H23" i="4"/>
  <c r="H24" i="4"/>
  <c r="H25" i="4"/>
  <c r="H26" i="4"/>
  <c r="H27" i="4"/>
  <c r="H28" i="4"/>
  <c r="H29" i="4"/>
  <c r="H15" i="4"/>
  <c r="H13" i="4"/>
  <c r="H7" i="4"/>
  <c r="H8" i="4"/>
  <c r="H9" i="4"/>
  <c r="H10" i="4"/>
  <c r="H11" i="4"/>
  <c r="H12" i="4"/>
  <c r="H6" i="4"/>
  <c r="B13" i="9" l="1"/>
  <c r="AC53" i="10"/>
  <c r="AC48" i="10"/>
  <c r="AC52" i="10"/>
  <c r="AC56" i="10"/>
  <c r="AC50" i="10"/>
  <c r="AC58" i="10"/>
  <c r="AC60" i="10"/>
  <c r="AC57" i="10"/>
  <c r="AC54" i="10"/>
  <c r="AC62" i="10"/>
  <c r="AC55" i="10"/>
  <c r="AC59" i="10"/>
  <c r="AC47" i="10"/>
  <c r="W40" i="13"/>
  <c r="Z49" i="13"/>
  <c r="F36" i="13"/>
  <c r="H36" i="13"/>
  <c r="O36" i="13"/>
  <c r="R36" i="13"/>
  <c r="H43" i="13"/>
  <c r="V45" i="13"/>
  <c r="E50" i="13"/>
  <c r="T55" i="13"/>
  <c r="AA59" i="13"/>
  <c r="J37" i="13"/>
  <c r="L36" i="13"/>
  <c r="U36" i="13"/>
  <c r="K43" i="13"/>
  <c r="Q46" i="13"/>
  <c r="O56" i="13"/>
  <c r="C60" i="13"/>
  <c r="N36" i="13"/>
  <c r="E36" i="13"/>
  <c r="S36" i="13"/>
  <c r="P43" i="13"/>
  <c r="T46" i="13"/>
  <c r="R56" i="13"/>
  <c r="AA60" i="13"/>
  <c r="B49" i="13"/>
  <c r="B40" i="13"/>
  <c r="P36" i="13"/>
  <c r="I36" i="13"/>
  <c r="K44" i="13"/>
  <c r="Y46" i="13"/>
  <c r="F53" i="13"/>
  <c r="W56" i="13"/>
  <c r="F61" i="13"/>
  <c r="G36" i="13"/>
  <c r="J36" i="13"/>
  <c r="N44" i="13"/>
  <c r="W48" i="13"/>
  <c r="I54" i="13"/>
  <c r="R57" i="13"/>
  <c r="D62" i="13"/>
  <c r="Q36" i="13"/>
  <c r="M36" i="13"/>
  <c r="T36" i="13"/>
  <c r="S44" i="13"/>
  <c r="L54" i="13"/>
  <c r="I62" i="13"/>
  <c r="I37" i="13"/>
  <c r="Z52" i="13"/>
  <c r="R52" i="13"/>
  <c r="J52" i="13"/>
  <c r="B52" i="13"/>
  <c r="Y52" i="13"/>
  <c r="Q52" i="13"/>
  <c r="I52" i="13"/>
  <c r="X52" i="13"/>
  <c r="P52" i="13"/>
  <c r="H52" i="13"/>
  <c r="W52" i="13"/>
  <c r="O52" i="13"/>
  <c r="G52" i="13"/>
  <c r="U52" i="13"/>
  <c r="M52" i="13"/>
  <c r="E52" i="13"/>
  <c r="AB52" i="13"/>
  <c r="T52" i="13"/>
  <c r="L52" i="13"/>
  <c r="D52" i="13"/>
  <c r="R37" i="13"/>
  <c r="W47" i="13"/>
  <c r="I53" i="13"/>
  <c r="W51" i="13"/>
  <c r="O51" i="13"/>
  <c r="G51" i="13"/>
  <c r="V51" i="13"/>
  <c r="N51" i="13"/>
  <c r="F51" i="13"/>
  <c r="U51" i="13"/>
  <c r="M51" i="13"/>
  <c r="E51" i="13"/>
  <c r="AB51" i="13"/>
  <c r="T51" i="13"/>
  <c r="L51" i="13"/>
  <c r="D51" i="13"/>
  <c r="Z51" i="13"/>
  <c r="R51" i="13"/>
  <c r="J51" i="13"/>
  <c r="B51" i="13"/>
  <c r="Y51" i="13"/>
  <c r="Q51" i="13"/>
  <c r="I51" i="13"/>
  <c r="K37" i="13"/>
  <c r="S37" i="13"/>
  <c r="AA37" i="13"/>
  <c r="G40" i="13"/>
  <c r="M42" i="13"/>
  <c r="AB47" i="13"/>
  <c r="H51" i="13"/>
  <c r="K52" i="13"/>
  <c r="Q54" i="13"/>
  <c r="U53" i="13"/>
  <c r="M53" i="13"/>
  <c r="E53" i="13"/>
  <c r="AB53" i="13"/>
  <c r="T53" i="13"/>
  <c r="L53" i="13"/>
  <c r="D53" i="13"/>
  <c r="AA53" i="13"/>
  <c r="S53" i="13"/>
  <c r="K53" i="13"/>
  <c r="C53" i="13"/>
  <c r="Z53" i="13"/>
  <c r="R53" i="13"/>
  <c r="J53" i="13"/>
  <c r="B53" i="13"/>
  <c r="X53" i="13"/>
  <c r="P53" i="13"/>
  <c r="H53" i="13"/>
  <c r="W53" i="13"/>
  <c r="O53" i="13"/>
  <c r="G53" i="13"/>
  <c r="H42" i="13"/>
  <c r="X58" i="13"/>
  <c r="C8" i="13"/>
  <c r="H38" i="13" s="1"/>
  <c r="Y41" i="13"/>
  <c r="Q41" i="13"/>
  <c r="I41" i="13"/>
  <c r="X41" i="13"/>
  <c r="P41" i="13"/>
  <c r="H41" i="13"/>
  <c r="W41" i="13"/>
  <c r="O41" i="13"/>
  <c r="G41" i="13"/>
  <c r="V41" i="13"/>
  <c r="N41" i="13"/>
  <c r="F41" i="13"/>
  <c r="AB41" i="13"/>
  <c r="T41" i="13"/>
  <c r="L41" i="13"/>
  <c r="D41" i="13"/>
  <c r="AA41" i="13"/>
  <c r="S41" i="13"/>
  <c r="K41" i="13"/>
  <c r="C41" i="13"/>
  <c r="V48" i="13"/>
  <c r="N48" i="13"/>
  <c r="F48" i="13"/>
  <c r="U48" i="13"/>
  <c r="M48" i="13"/>
  <c r="E48" i="13"/>
  <c r="AB48" i="13"/>
  <c r="T48" i="13"/>
  <c r="L48" i="13"/>
  <c r="D48" i="13"/>
  <c r="AA48" i="13"/>
  <c r="S48" i="13"/>
  <c r="K48" i="13"/>
  <c r="C48" i="13"/>
  <c r="Y48" i="13"/>
  <c r="Q48" i="13"/>
  <c r="I48" i="13"/>
  <c r="X48" i="13"/>
  <c r="P48" i="13"/>
  <c r="H48" i="13"/>
  <c r="Y57" i="13"/>
  <c r="Q57" i="13"/>
  <c r="I57" i="13"/>
  <c r="X57" i="13"/>
  <c r="P57" i="13"/>
  <c r="H57" i="13"/>
  <c r="W57" i="13"/>
  <c r="O57" i="13"/>
  <c r="G57" i="13"/>
  <c r="V57" i="13"/>
  <c r="N57" i="13"/>
  <c r="F57" i="13"/>
  <c r="AB57" i="13"/>
  <c r="T57" i="13"/>
  <c r="L57" i="13"/>
  <c r="D57" i="13"/>
  <c r="AA57" i="13"/>
  <c r="S57" i="13"/>
  <c r="K57" i="13"/>
  <c r="C57" i="13"/>
  <c r="D37" i="13"/>
  <c r="L37" i="13"/>
  <c r="T37" i="13"/>
  <c r="AB37" i="13"/>
  <c r="J40" i="13"/>
  <c r="M41" i="13"/>
  <c r="P42" i="13"/>
  <c r="S43" i="13"/>
  <c r="V44" i="13"/>
  <c r="AB46" i="13"/>
  <c r="B48" i="13"/>
  <c r="E49" i="13"/>
  <c r="K51" i="13"/>
  <c r="N52" i="13"/>
  <c r="Q53" i="13"/>
  <c r="Z56" i="13"/>
  <c r="C59" i="13"/>
  <c r="F60" i="13"/>
  <c r="I61" i="13"/>
  <c r="L62" i="13"/>
  <c r="B37" i="13"/>
  <c r="Z37" i="13"/>
  <c r="F52" i="13"/>
  <c r="X54" i="13"/>
  <c r="P54" i="13"/>
  <c r="H54" i="13"/>
  <c r="W54" i="13"/>
  <c r="O54" i="13"/>
  <c r="G54" i="13"/>
  <c r="V54" i="13"/>
  <c r="N54" i="13"/>
  <c r="F54" i="13"/>
  <c r="U54" i="13"/>
  <c r="M54" i="13"/>
  <c r="E54" i="13"/>
  <c r="AA54" i="13"/>
  <c r="S54" i="13"/>
  <c r="K54" i="13"/>
  <c r="C54" i="13"/>
  <c r="Z54" i="13"/>
  <c r="R54" i="13"/>
  <c r="J54" i="13"/>
  <c r="B54" i="13"/>
  <c r="AB50" i="13"/>
  <c r="T50" i="13"/>
  <c r="L50" i="13"/>
  <c r="D50" i="13"/>
  <c r="AA50" i="13"/>
  <c r="S50" i="13"/>
  <c r="K50" i="13"/>
  <c r="C50" i="13"/>
  <c r="Z50" i="13"/>
  <c r="R50" i="13"/>
  <c r="J50" i="13"/>
  <c r="B50" i="13"/>
  <c r="Y50" i="13"/>
  <c r="Q50" i="13"/>
  <c r="I50" i="13"/>
  <c r="W50" i="13"/>
  <c r="O50" i="13"/>
  <c r="G50" i="13"/>
  <c r="V50" i="13"/>
  <c r="N50" i="13"/>
  <c r="F50" i="13"/>
  <c r="AA55" i="13"/>
  <c r="S55" i="13"/>
  <c r="K55" i="13"/>
  <c r="C55" i="13"/>
  <c r="Z55" i="13"/>
  <c r="R55" i="13"/>
  <c r="J55" i="13"/>
  <c r="B55" i="13"/>
  <c r="Y55" i="13"/>
  <c r="Q55" i="13"/>
  <c r="I55" i="13"/>
  <c r="X55" i="13"/>
  <c r="P55" i="13"/>
  <c r="H55" i="13"/>
  <c r="V55" i="13"/>
  <c r="N55" i="13"/>
  <c r="F55" i="13"/>
  <c r="U55" i="13"/>
  <c r="M55" i="13"/>
  <c r="E55" i="13"/>
  <c r="B36" i="13"/>
  <c r="E37" i="13"/>
  <c r="M37" i="13"/>
  <c r="U37" i="13"/>
  <c r="O40" i="13"/>
  <c r="R41" i="13"/>
  <c r="X43" i="13"/>
  <c r="D47" i="13"/>
  <c r="G48" i="13"/>
  <c r="J49" i="13"/>
  <c r="M50" i="13"/>
  <c r="P51" i="13"/>
  <c r="S52" i="13"/>
  <c r="V53" i="13"/>
  <c r="Y54" i="13"/>
  <c r="AB55" i="13"/>
  <c r="B57" i="13"/>
  <c r="E58" i="13"/>
  <c r="H59" i="13"/>
  <c r="Q62" i="13"/>
  <c r="AB42" i="13"/>
  <c r="T42" i="13"/>
  <c r="L42" i="13"/>
  <c r="D42" i="13"/>
  <c r="AA42" i="13"/>
  <c r="S42" i="13"/>
  <c r="K42" i="13"/>
  <c r="C42" i="13"/>
  <c r="Z42" i="13"/>
  <c r="R42" i="13"/>
  <c r="J42" i="13"/>
  <c r="B42" i="13"/>
  <c r="Y42" i="13"/>
  <c r="Q42" i="13"/>
  <c r="I42" i="13"/>
  <c r="W42" i="13"/>
  <c r="O42" i="13"/>
  <c r="G42" i="13"/>
  <c r="V42" i="13"/>
  <c r="N42" i="13"/>
  <c r="F42" i="13"/>
  <c r="E42" i="13"/>
  <c r="U58" i="13"/>
  <c r="C9" i="13"/>
  <c r="R39" i="13" s="1"/>
  <c r="Z44" i="13"/>
  <c r="R44" i="13"/>
  <c r="J44" i="13"/>
  <c r="B44" i="13"/>
  <c r="Y44" i="13"/>
  <c r="Q44" i="13"/>
  <c r="I44" i="13"/>
  <c r="X44" i="13"/>
  <c r="P44" i="13"/>
  <c r="H44" i="13"/>
  <c r="W44" i="13"/>
  <c r="O44" i="13"/>
  <c r="G44" i="13"/>
  <c r="U44" i="13"/>
  <c r="M44" i="13"/>
  <c r="E44" i="13"/>
  <c r="AB44" i="13"/>
  <c r="T44" i="13"/>
  <c r="L44" i="13"/>
  <c r="D44" i="13"/>
  <c r="U45" i="13"/>
  <c r="M45" i="13"/>
  <c r="E45" i="13"/>
  <c r="AB45" i="13"/>
  <c r="T45" i="13"/>
  <c r="L45" i="13"/>
  <c r="D45" i="13"/>
  <c r="AA45" i="13"/>
  <c r="S45" i="13"/>
  <c r="K45" i="13"/>
  <c r="C45" i="13"/>
  <c r="Z45" i="13"/>
  <c r="R45" i="13"/>
  <c r="J45" i="13"/>
  <c r="B45" i="13"/>
  <c r="X45" i="13"/>
  <c r="P45" i="13"/>
  <c r="H45" i="13"/>
  <c r="W45" i="13"/>
  <c r="O45" i="13"/>
  <c r="G45" i="13"/>
  <c r="Z60" i="13"/>
  <c r="R60" i="13"/>
  <c r="J60" i="13"/>
  <c r="B60" i="13"/>
  <c r="Y60" i="13"/>
  <c r="Q60" i="13"/>
  <c r="I60" i="13"/>
  <c r="X60" i="13"/>
  <c r="P60" i="13"/>
  <c r="H60" i="13"/>
  <c r="W60" i="13"/>
  <c r="O60" i="13"/>
  <c r="G60" i="13"/>
  <c r="U60" i="13"/>
  <c r="M60" i="13"/>
  <c r="E60" i="13"/>
  <c r="AB60" i="13"/>
  <c r="T60" i="13"/>
  <c r="L60" i="13"/>
  <c r="D60" i="13"/>
  <c r="U61" i="13"/>
  <c r="M61" i="13"/>
  <c r="E61" i="13"/>
  <c r="AB61" i="13"/>
  <c r="T61" i="13"/>
  <c r="L61" i="13"/>
  <c r="D61" i="13"/>
  <c r="AA61" i="13"/>
  <c r="S61" i="13"/>
  <c r="K61" i="13"/>
  <c r="C61" i="13"/>
  <c r="Z61" i="13"/>
  <c r="R61" i="13"/>
  <c r="J61" i="13"/>
  <c r="B61" i="13"/>
  <c r="X61" i="13"/>
  <c r="P61" i="13"/>
  <c r="H61" i="13"/>
  <c r="W61" i="13"/>
  <c r="O61" i="13"/>
  <c r="G61" i="13"/>
  <c r="F37" i="13"/>
  <c r="N37" i="13"/>
  <c r="V37" i="13"/>
  <c r="R40" i="13"/>
  <c r="U41" i="13"/>
  <c r="X42" i="13"/>
  <c r="J48" i="13"/>
  <c r="M49" i="13"/>
  <c r="P50" i="13"/>
  <c r="S51" i="13"/>
  <c r="V52" i="13"/>
  <c r="Y53" i="13"/>
  <c r="AB54" i="13"/>
  <c r="B56" i="13"/>
  <c r="E57" i="13"/>
  <c r="H58" i="13"/>
  <c r="N60" i="13"/>
  <c r="Q61" i="13"/>
  <c r="AA47" i="13"/>
  <c r="S47" i="13"/>
  <c r="K47" i="13"/>
  <c r="C47" i="13"/>
  <c r="Z47" i="13"/>
  <c r="R47" i="13"/>
  <c r="J47" i="13"/>
  <c r="B47" i="13"/>
  <c r="Y47" i="13"/>
  <c r="Q47" i="13"/>
  <c r="I47" i="13"/>
  <c r="X47" i="13"/>
  <c r="P47" i="13"/>
  <c r="H47" i="13"/>
  <c r="V47" i="13"/>
  <c r="N47" i="13"/>
  <c r="F47" i="13"/>
  <c r="U47" i="13"/>
  <c r="M47" i="13"/>
  <c r="E47" i="13"/>
  <c r="Y37" i="13"/>
  <c r="W43" i="13"/>
  <c r="O43" i="13"/>
  <c r="G43" i="13"/>
  <c r="V43" i="13"/>
  <c r="N43" i="13"/>
  <c r="F43" i="13"/>
  <c r="U43" i="13"/>
  <c r="M43" i="13"/>
  <c r="E43" i="13"/>
  <c r="AB43" i="13"/>
  <c r="T43" i="13"/>
  <c r="L43" i="13"/>
  <c r="D43" i="13"/>
  <c r="Z43" i="13"/>
  <c r="R43" i="13"/>
  <c r="J43" i="13"/>
  <c r="B43" i="13"/>
  <c r="Y43" i="13"/>
  <c r="Q43" i="13"/>
  <c r="I43" i="13"/>
  <c r="X46" i="13"/>
  <c r="P46" i="13"/>
  <c r="H46" i="13"/>
  <c r="W46" i="13"/>
  <c r="O46" i="13"/>
  <c r="G46" i="13"/>
  <c r="V46" i="13"/>
  <c r="N46" i="13"/>
  <c r="F46" i="13"/>
  <c r="U46" i="13"/>
  <c r="M46" i="13"/>
  <c r="E46" i="13"/>
  <c r="AA46" i="13"/>
  <c r="S46" i="13"/>
  <c r="K46" i="13"/>
  <c r="C46" i="13"/>
  <c r="Z46" i="13"/>
  <c r="R46" i="13"/>
  <c r="J46" i="13"/>
  <c r="B46" i="13"/>
  <c r="W59" i="13"/>
  <c r="O59" i="13"/>
  <c r="G59" i="13"/>
  <c r="V59" i="13"/>
  <c r="N59" i="13"/>
  <c r="F59" i="13"/>
  <c r="U59" i="13"/>
  <c r="M59" i="13"/>
  <c r="E59" i="13"/>
  <c r="AB59" i="13"/>
  <c r="T59" i="13"/>
  <c r="L59" i="13"/>
  <c r="D59" i="13"/>
  <c r="Z59" i="13"/>
  <c r="R59" i="13"/>
  <c r="J59" i="13"/>
  <c r="B59" i="13"/>
  <c r="Y59" i="13"/>
  <c r="Q59" i="13"/>
  <c r="I59" i="13"/>
  <c r="X62" i="13"/>
  <c r="P62" i="13"/>
  <c r="H62" i="13"/>
  <c r="W62" i="13"/>
  <c r="O62" i="13"/>
  <c r="G62" i="13"/>
  <c r="V62" i="13"/>
  <c r="N62" i="13"/>
  <c r="F62" i="13"/>
  <c r="U62" i="13"/>
  <c r="M62" i="13"/>
  <c r="E62" i="13"/>
  <c r="AA62" i="13"/>
  <c r="S62" i="13"/>
  <c r="K62" i="13"/>
  <c r="C62" i="13"/>
  <c r="Z62" i="13"/>
  <c r="R62" i="13"/>
  <c r="J62" i="13"/>
  <c r="B62" i="13"/>
  <c r="D36" i="13"/>
  <c r="G37" i="13"/>
  <c r="O37" i="13"/>
  <c r="W37" i="13"/>
  <c r="U39" i="13"/>
  <c r="Z41" i="13"/>
  <c r="C44" i="13"/>
  <c r="F45" i="13"/>
  <c r="I46" i="13"/>
  <c r="L47" i="13"/>
  <c r="O48" i="13"/>
  <c r="U50" i="13"/>
  <c r="X51" i="13"/>
  <c r="AA52" i="13"/>
  <c r="D55" i="13"/>
  <c r="J57" i="13"/>
  <c r="P59" i="13"/>
  <c r="S60" i="13"/>
  <c r="V61" i="13"/>
  <c r="Y62" i="13"/>
  <c r="AB58" i="13"/>
  <c r="T58" i="13"/>
  <c r="L58" i="13"/>
  <c r="D58" i="13"/>
  <c r="AA58" i="13"/>
  <c r="S58" i="13"/>
  <c r="K58" i="13"/>
  <c r="C58" i="13"/>
  <c r="Z58" i="13"/>
  <c r="R58" i="13"/>
  <c r="J58" i="13"/>
  <c r="B58" i="13"/>
  <c r="Y58" i="13"/>
  <c r="Q58" i="13"/>
  <c r="I58" i="13"/>
  <c r="W58" i="13"/>
  <c r="O58" i="13"/>
  <c r="G58" i="13"/>
  <c r="V58" i="13"/>
  <c r="N58" i="13"/>
  <c r="F58" i="13"/>
  <c r="Q37" i="13"/>
  <c r="T47" i="13"/>
  <c r="V40" i="13"/>
  <c r="N40" i="13"/>
  <c r="F40" i="13"/>
  <c r="U40" i="13"/>
  <c r="M40" i="13"/>
  <c r="E40" i="13"/>
  <c r="AB40" i="13"/>
  <c r="T40" i="13"/>
  <c r="L40" i="13"/>
  <c r="D40" i="13"/>
  <c r="AA40" i="13"/>
  <c r="S40" i="13"/>
  <c r="K40" i="13"/>
  <c r="Y40" i="13"/>
  <c r="Q40" i="13"/>
  <c r="I40" i="13"/>
  <c r="X40" i="13"/>
  <c r="P40" i="13"/>
  <c r="H40" i="13"/>
  <c r="Y49" i="13"/>
  <c r="Q49" i="13"/>
  <c r="I49" i="13"/>
  <c r="X49" i="13"/>
  <c r="P49" i="13"/>
  <c r="H49" i="13"/>
  <c r="W49" i="13"/>
  <c r="O49" i="13"/>
  <c r="G49" i="13"/>
  <c r="V49" i="13"/>
  <c r="N49" i="13"/>
  <c r="F49" i="13"/>
  <c r="AB49" i="13"/>
  <c r="T49" i="13"/>
  <c r="L49" i="13"/>
  <c r="D49" i="13"/>
  <c r="AA49" i="13"/>
  <c r="S49" i="13"/>
  <c r="K49" i="13"/>
  <c r="C49" i="13"/>
  <c r="V56" i="13"/>
  <c r="N56" i="13"/>
  <c r="F56" i="13"/>
  <c r="U56" i="13"/>
  <c r="M56" i="13"/>
  <c r="E56" i="13"/>
  <c r="AB56" i="13"/>
  <c r="T56" i="13"/>
  <c r="L56" i="13"/>
  <c r="D56" i="13"/>
  <c r="AA56" i="13"/>
  <c r="S56" i="13"/>
  <c r="K56" i="13"/>
  <c r="C56" i="13"/>
  <c r="Y56" i="13"/>
  <c r="Q56" i="13"/>
  <c r="I56" i="13"/>
  <c r="X56" i="13"/>
  <c r="P56" i="13"/>
  <c r="H56" i="13"/>
  <c r="H37" i="13"/>
  <c r="P37" i="13"/>
  <c r="F39" i="13"/>
  <c r="N39" i="13"/>
  <c r="Z40" i="13"/>
  <c r="C43" i="13"/>
  <c r="F44" i="13"/>
  <c r="I45" i="13"/>
  <c r="L46" i="13"/>
  <c r="O47" i="13"/>
  <c r="R48" i="13"/>
  <c r="U49" i="13"/>
  <c r="X50" i="13"/>
  <c r="AA51" i="13"/>
  <c r="D54" i="13"/>
  <c r="G55" i="13"/>
  <c r="J56" i="13"/>
  <c r="M57" i="13"/>
  <c r="P58" i="13"/>
  <c r="S59" i="13"/>
  <c r="V60" i="13"/>
  <c r="Y61" i="13"/>
  <c r="AB62" i="13"/>
  <c r="S37" i="12"/>
  <c r="P56" i="12"/>
  <c r="G36" i="12"/>
  <c r="M36" i="12"/>
  <c r="T36" i="12"/>
  <c r="AA37" i="12"/>
  <c r="B46" i="12"/>
  <c r="F36" i="12"/>
  <c r="K36" i="12"/>
  <c r="V36" i="12"/>
  <c r="AB37" i="12"/>
  <c r="C41" i="12"/>
  <c r="I59" i="12"/>
  <c r="D36" i="12"/>
  <c r="O36" i="12"/>
  <c r="I43" i="12"/>
  <c r="F50" i="12"/>
  <c r="E36" i="12"/>
  <c r="L36" i="12"/>
  <c r="M37" i="12"/>
  <c r="R36" i="12"/>
  <c r="P36" i="12"/>
  <c r="U36" i="12"/>
  <c r="T37" i="12"/>
  <c r="Q43" i="12"/>
  <c r="D52" i="12"/>
  <c r="G61" i="12"/>
  <c r="E37" i="12"/>
  <c r="D37" i="12"/>
  <c r="I36" i="12"/>
  <c r="H36" i="12"/>
  <c r="K37" i="12"/>
  <c r="U38" i="12"/>
  <c r="J36" i="12"/>
  <c r="N36" i="12"/>
  <c r="S36" i="12"/>
  <c r="Q36" i="12"/>
  <c r="L52" i="12"/>
  <c r="X54" i="12"/>
  <c r="P54" i="12"/>
  <c r="H54" i="12"/>
  <c r="W54" i="12"/>
  <c r="O54" i="12"/>
  <c r="G54" i="12"/>
  <c r="V54" i="12"/>
  <c r="N54" i="12"/>
  <c r="F54" i="12"/>
  <c r="U54" i="12"/>
  <c r="M54" i="12"/>
  <c r="E54" i="12"/>
  <c r="AB54" i="12"/>
  <c r="T54" i="12"/>
  <c r="L54" i="12"/>
  <c r="D54" i="12"/>
  <c r="AA54" i="12"/>
  <c r="S54" i="12"/>
  <c r="K54" i="12"/>
  <c r="C54" i="12"/>
  <c r="Y54" i="12"/>
  <c r="Q54" i="12"/>
  <c r="I54" i="12"/>
  <c r="F38" i="12"/>
  <c r="V38" i="12"/>
  <c r="W38" i="12"/>
  <c r="AA55" i="12"/>
  <c r="S55" i="12"/>
  <c r="K55" i="12"/>
  <c r="C55" i="12"/>
  <c r="Z55" i="12"/>
  <c r="R55" i="12"/>
  <c r="J55" i="12"/>
  <c r="B55" i="12"/>
  <c r="Y55" i="12"/>
  <c r="Q55" i="12"/>
  <c r="I55" i="12"/>
  <c r="X55" i="12"/>
  <c r="P55" i="12"/>
  <c r="H55" i="12"/>
  <c r="W55" i="12"/>
  <c r="O55" i="12"/>
  <c r="G55" i="12"/>
  <c r="V55" i="12"/>
  <c r="N55" i="12"/>
  <c r="F55" i="12"/>
  <c r="AB55" i="12"/>
  <c r="T55" i="12"/>
  <c r="L55" i="12"/>
  <c r="D55" i="12"/>
  <c r="U37" i="12"/>
  <c r="H38" i="12"/>
  <c r="X38" i="12"/>
  <c r="S41" i="12"/>
  <c r="H48" i="12"/>
  <c r="N50" i="12"/>
  <c r="Z54" i="12"/>
  <c r="C57" i="12"/>
  <c r="J54" i="12"/>
  <c r="O38" i="12"/>
  <c r="R54" i="12"/>
  <c r="X39" i="12"/>
  <c r="C9" i="12"/>
  <c r="Z39" i="12" s="1"/>
  <c r="Z44" i="12"/>
  <c r="R44" i="12"/>
  <c r="J44" i="12"/>
  <c r="B44" i="12"/>
  <c r="Y44" i="12"/>
  <c r="Q44" i="12"/>
  <c r="I44" i="12"/>
  <c r="X44" i="12"/>
  <c r="P44" i="12"/>
  <c r="H44" i="12"/>
  <c r="W44" i="12"/>
  <c r="O44" i="12"/>
  <c r="G44" i="12"/>
  <c r="V44" i="12"/>
  <c r="N44" i="12"/>
  <c r="F44" i="12"/>
  <c r="U44" i="12"/>
  <c r="M44" i="12"/>
  <c r="E44" i="12"/>
  <c r="AA44" i="12"/>
  <c r="S44" i="12"/>
  <c r="K44" i="12"/>
  <c r="C44" i="12"/>
  <c r="U45" i="12"/>
  <c r="M45" i="12"/>
  <c r="E45" i="12"/>
  <c r="AB45" i="12"/>
  <c r="T45" i="12"/>
  <c r="L45" i="12"/>
  <c r="D45" i="12"/>
  <c r="AA45" i="12"/>
  <c r="S45" i="12"/>
  <c r="K45" i="12"/>
  <c r="C45" i="12"/>
  <c r="Z45" i="12"/>
  <c r="R45" i="12"/>
  <c r="J45" i="12"/>
  <c r="B45" i="12"/>
  <c r="Y45" i="12"/>
  <c r="Q45" i="12"/>
  <c r="I45" i="12"/>
  <c r="X45" i="12"/>
  <c r="P45" i="12"/>
  <c r="H45" i="12"/>
  <c r="V45" i="12"/>
  <c r="N45" i="12"/>
  <c r="F45" i="12"/>
  <c r="Z60" i="12"/>
  <c r="R60" i="12"/>
  <c r="J60" i="12"/>
  <c r="B60" i="12"/>
  <c r="Y60" i="12"/>
  <c r="Q60" i="12"/>
  <c r="I60" i="12"/>
  <c r="X60" i="12"/>
  <c r="P60" i="12"/>
  <c r="H60" i="12"/>
  <c r="W60" i="12"/>
  <c r="O60" i="12"/>
  <c r="G60" i="12"/>
  <c r="V60" i="12"/>
  <c r="N60" i="12"/>
  <c r="F60" i="12"/>
  <c r="U60" i="12"/>
  <c r="M60" i="12"/>
  <c r="E60" i="12"/>
  <c r="AA60" i="12"/>
  <c r="S60" i="12"/>
  <c r="K60" i="12"/>
  <c r="C60" i="12"/>
  <c r="U61" i="12"/>
  <c r="M61" i="12"/>
  <c r="E61" i="12"/>
  <c r="AB61" i="12"/>
  <c r="T61" i="12"/>
  <c r="L61" i="12"/>
  <c r="D61" i="12"/>
  <c r="AA61" i="12"/>
  <c r="S61" i="12"/>
  <c r="K61" i="12"/>
  <c r="C61" i="12"/>
  <c r="Z61" i="12"/>
  <c r="R61" i="12"/>
  <c r="J61" i="12"/>
  <c r="B61" i="12"/>
  <c r="Y61" i="12"/>
  <c r="Q61" i="12"/>
  <c r="I61" i="12"/>
  <c r="X61" i="12"/>
  <c r="P61" i="12"/>
  <c r="H61" i="12"/>
  <c r="V61" i="12"/>
  <c r="N61" i="12"/>
  <c r="F61" i="12"/>
  <c r="F37" i="12"/>
  <c r="N37" i="12"/>
  <c r="V37" i="12"/>
  <c r="I38" i="12"/>
  <c r="Q38" i="12"/>
  <c r="Y38" i="12"/>
  <c r="AA41" i="12"/>
  <c r="D44" i="12"/>
  <c r="P48" i="12"/>
  <c r="E55" i="12"/>
  <c r="W61" i="12"/>
  <c r="Y57" i="12"/>
  <c r="Q57" i="12"/>
  <c r="I57" i="12"/>
  <c r="X57" i="12"/>
  <c r="P57" i="12"/>
  <c r="H57" i="12"/>
  <c r="W57" i="12"/>
  <c r="O57" i="12"/>
  <c r="G57" i="12"/>
  <c r="V57" i="12"/>
  <c r="N57" i="12"/>
  <c r="F57" i="12"/>
  <c r="U57" i="12"/>
  <c r="M57" i="12"/>
  <c r="E57" i="12"/>
  <c r="AB57" i="12"/>
  <c r="T57" i="12"/>
  <c r="L57" i="12"/>
  <c r="D57" i="12"/>
  <c r="Z57" i="12"/>
  <c r="R57" i="12"/>
  <c r="J57" i="12"/>
  <c r="B57" i="12"/>
  <c r="L37" i="12"/>
  <c r="G38" i="12"/>
  <c r="W43" i="12"/>
  <c r="O43" i="12"/>
  <c r="G43" i="12"/>
  <c r="V43" i="12"/>
  <c r="N43" i="12"/>
  <c r="F43" i="12"/>
  <c r="U43" i="12"/>
  <c r="M43" i="12"/>
  <c r="E43" i="12"/>
  <c r="AB43" i="12"/>
  <c r="T43" i="12"/>
  <c r="L43" i="12"/>
  <c r="D43" i="12"/>
  <c r="AA43" i="12"/>
  <c r="S43" i="12"/>
  <c r="K43" i="12"/>
  <c r="C43" i="12"/>
  <c r="Z43" i="12"/>
  <c r="R43" i="12"/>
  <c r="J43" i="12"/>
  <c r="B43" i="12"/>
  <c r="X43" i="12"/>
  <c r="P43" i="12"/>
  <c r="H43" i="12"/>
  <c r="X46" i="12"/>
  <c r="P46" i="12"/>
  <c r="H46" i="12"/>
  <c r="W46" i="12"/>
  <c r="O46" i="12"/>
  <c r="G46" i="12"/>
  <c r="V46" i="12"/>
  <c r="N46" i="12"/>
  <c r="F46" i="12"/>
  <c r="U46" i="12"/>
  <c r="M46" i="12"/>
  <c r="E46" i="12"/>
  <c r="AB46" i="12"/>
  <c r="T46" i="12"/>
  <c r="L46" i="12"/>
  <c r="D46" i="12"/>
  <c r="AA46" i="12"/>
  <c r="S46" i="12"/>
  <c r="K46" i="12"/>
  <c r="C46" i="12"/>
  <c r="Y46" i="12"/>
  <c r="Q46" i="12"/>
  <c r="I46" i="12"/>
  <c r="W59" i="12"/>
  <c r="O59" i="12"/>
  <c r="G59" i="12"/>
  <c r="V59" i="12"/>
  <c r="N59" i="12"/>
  <c r="F59" i="12"/>
  <c r="U59" i="12"/>
  <c r="M59" i="12"/>
  <c r="E59" i="12"/>
  <c r="AB59" i="12"/>
  <c r="T59" i="12"/>
  <c r="L59" i="12"/>
  <c r="D59" i="12"/>
  <c r="AA59" i="12"/>
  <c r="S59" i="12"/>
  <c r="K59" i="12"/>
  <c r="C59" i="12"/>
  <c r="Z59" i="12"/>
  <c r="R59" i="12"/>
  <c r="J59" i="12"/>
  <c r="B59" i="12"/>
  <c r="X59" i="12"/>
  <c r="P59" i="12"/>
  <c r="H59" i="12"/>
  <c r="X62" i="12"/>
  <c r="P62" i="12"/>
  <c r="H62" i="12"/>
  <c r="W62" i="12"/>
  <c r="O62" i="12"/>
  <c r="G62" i="12"/>
  <c r="V62" i="12"/>
  <c r="N62" i="12"/>
  <c r="F62" i="12"/>
  <c r="U62" i="12"/>
  <c r="M62" i="12"/>
  <c r="E62" i="12"/>
  <c r="AB62" i="12"/>
  <c r="T62" i="12"/>
  <c r="L62" i="12"/>
  <c r="D62" i="12"/>
  <c r="AA62" i="12"/>
  <c r="S62" i="12"/>
  <c r="K62" i="12"/>
  <c r="C62" i="12"/>
  <c r="Y62" i="12"/>
  <c r="Q62" i="12"/>
  <c r="I62" i="12"/>
  <c r="G37" i="12"/>
  <c r="O37" i="12"/>
  <c r="W37" i="12"/>
  <c r="B38" i="12"/>
  <c r="J38" i="12"/>
  <c r="R38" i="12"/>
  <c r="Z38" i="12"/>
  <c r="E39" i="12"/>
  <c r="F42" i="12"/>
  <c r="L44" i="12"/>
  <c r="R46" i="12"/>
  <c r="G53" i="12"/>
  <c r="M55" i="12"/>
  <c r="S57" i="12"/>
  <c r="Y59" i="12"/>
  <c r="B62" i="12"/>
  <c r="B36" i="12"/>
  <c r="P38" i="12"/>
  <c r="V40" i="12"/>
  <c r="N40" i="12"/>
  <c r="F40" i="12"/>
  <c r="U40" i="12"/>
  <c r="M40" i="12"/>
  <c r="E40" i="12"/>
  <c r="AB40" i="12"/>
  <c r="T40" i="12"/>
  <c r="L40" i="12"/>
  <c r="D40" i="12"/>
  <c r="AA40" i="12"/>
  <c r="S40" i="12"/>
  <c r="K40" i="12"/>
  <c r="Z40" i="12"/>
  <c r="R40" i="12"/>
  <c r="J40" i="12"/>
  <c r="B40" i="12"/>
  <c r="Y40" i="12"/>
  <c r="Q40" i="12"/>
  <c r="I40" i="12"/>
  <c r="W40" i="12"/>
  <c r="O40" i="12"/>
  <c r="G40" i="12"/>
  <c r="Y49" i="12"/>
  <c r="Q49" i="12"/>
  <c r="I49" i="12"/>
  <c r="X49" i="12"/>
  <c r="P49" i="12"/>
  <c r="H49" i="12"/>
  <c r="W49" i="12"/>
  <c r="O49" i="12"/>
  <c r="G49" i="12"/>
  <c r="V49" i="12"/>
  <c r="N49" i="12"/>
  <c r="F49" i="12"/>
  <c r="U49" i="12"/>
  <c r="M49" i="12"/>
  <c r="E49" i="12"/>
  <c r="AB49" i="12"/>
  <c r="T49" i="12"/>
  <c r="L49" i="12"/>
  <c r="D49" i="12"/>
  <c r="Z49" i="12"/>
  <c r="R49" i="12"/>
  <c r="J49" i="12"/>
  <c r="B49" i="12"/>
  <c r="V56" i="12"/>
  <c r="N56" i="12"/>
  <c r="F56" i="12"/>
  <c r="U56" i="12"/>
  <c r="M56" i="12"/>
  <c r="E56" i="12"/>
  <c r="AB56" i="12"/>
  <c r="T56" i="12"/>
  <c r="L56" i="12"/>
  <c r="D56" i="12"/>
  <c r="AA56" i="12"/>
  <c r="S56" i="12"/>
  <c r="K56" i="12"/>
  <c r="C56" i="12"/>
  <c r="Z56" i="12"/>
  <c r="R56" i="12"/>
  <c r="J56" i="12"/>
  <c r="B56" i="12"/>
  <c r="Y56" i="12"/>
  <c r="Q56" i="12"/>
  <c r="I56" i="12"/>
  <c r="W56" i="12"/>
  <c r="O56" i="12"/>
  <c r="G56" i="12"/>
  <c r="H37" i="12"/>
  <c r="P37" i="12"/>
  <c r="X37" i="12"/>
  <c r="K38" i="12"/>
  <c r="S38" i="12"/>
  <c r="AA38" i="12"/>
  <c r="H40" i="12"/>
  <c r="T44" i="12"/>
  <c r="Z46" i="12"/>
  <c r="C49" i="12"/>
  <c r="I51" i="12"/>
  <c r="O53" i="12"/>
  <c r="U55" i="12"/>
  <c r="AA57" i="12"/>
  <c r="D60" i="12"/>
  <c r="J62" i="12"/>
  <c r="Y41" i="12"/>
  <c r="Q41" i="12"/>
  <c r="I41" i="12"/>
  <c r="X41" i="12"/>
  <c r="P41" i="12"/>
  <c r="H41" i="12"/>
  <c r="W41" i="12"/>
  <c r="O41" i="12"/>
  <c r="G41" i="12"/>
  <c r="V41" i="12"/>
  <c r="N41" i="12"/>
  <c r="F41" i="12"/>
  <c r="U41" i="12"/>
  <c r="M41" i="12"/>
  <c r="E41" i="12"/>
  <c r="AB41" i="12"/>
  <c r="T41" i="12"/>
  <c r="L41" i="12"/>
  <c r="D41" i="12"/>
  <c r="Z41" i="12"/>
  <c r="R41" i="12"/>
  <c r="J41" i="12"/>
  <c r="B41" i="12"/>
  <c r="V48" i="12"/>
  <c r="N48" i="12"/>
  <c r="F48" i="12"/>
  <c r="U48" i="12"/>
  <c r="M48" i="12"/>
  <c r="E48" i="12"/>
  <c r="AB48" i="12"/>
  <c r="T48" i="12"/>
  <c r="L48" i="12"/>
  <c r="D48" i="12"/>
  <c r="AA48" i="12"/>
  <c r="S48" i="12"/>
  <c r="K48" i="12"/>
  <c r="C48" i="12"/>
  <c r="Z48" i="12"/>
  <c r="R48" i="12"/>
  <c r="J48" i="12"/>
  <c r="B48" i="12"/>
  <c r="Y48" i="12"/>
  <c r="Q48" i="12"/>
  <c r="I48" i="12"/>
  <c r="W48" i="12"/>
  <c r="O48" i="12"/>
  <c r="G48" i="12"/>
  <c r="AB42" i="12"/>
  <c r="T42" i="12"/>
  <c r="L42" i="12"/>
  <c r="D42" i="12"/>
  <c r="AA42" i="12"/>
  <c r="S42" i="12"/>
  <c r="K42" i="12"/>
  <c r="C42" i="12"/>
  <c r="Z42" i="12"/>
  <c r="R42" i="12"/>
  <c r="J42" i="12"/>
  <c r="B42" i="12"/>
  <c r="Y42" i="12"/>
  <c r="Q42" i="12"/>
  <c r="I42" i="12"/>
  <c r="X42" i="12"/>
  <c r="P42" i="12"/>
  <c r="H42" i="12"/>
  <c r="W42" i="12"/>
  <c r="O42" i="12"/>
  <c r="G42" i="12"/>
  <c r="U42" i="12"/>
  <c r="M42" i="12"/>
  <c r="E42" i="12"/>
  <c r="AA47" i="12"/>
  <c r="S47" i="12"/>
  <c r="K47" i="12"/>
  <c r="C47" i="12"/>
  <c r="Z47" i="12"/>
  <c r="R47" i="12"/>
  <c r="J47" i="12"/>
  <c r="B47" i="12"/>
  <c r="Y47" i="12"/>
  <c r="Q47" i="12"/>
  <c r="I47" i="12"/>
  <c r="X47" i="12"/>
  <c r="P47" i="12"/>
  <c r="H47" i="12"/>
  <c r="W47" i="12"/>
  <c r="O47" i="12"/>
  <c r="G47" i="12"/>
  <c r="V47" i="12"/>
  <c r="N47" i="12"/>
  <c r="F47" i="12"/>
  <c r="AB47" i="12"/>
  <c r="T47" i="12"/>
  <c r="L47" i="12"/>
  <c r="D47" i="12"/>
  <c r="AB58" i="12"/>
  <c r="T58" i="12"/>
  <c r="L58" i="12"/>
  <c r="D58" i="12"/>
  <c r="AA58" i="12"/>
  <c r="S58" i="12"/>
  <c r="K58" i="12"/>
  <c r="C58" i="12"/>
  <c r="Z58" i="12"/>
  <c r="R58" i="12"/>
  <c r="J58" i="12"/>
  <c r="B58" i="12"/>
  <c r="Y58" i="12"/>
  <c r="Q58" i="12"/>
  <c r="I58" i="12"/>
  <c r="X58" i="12"/>
  <c r="P58" i="12"/>
  <c r="H58" i="12"/>
  <c r="W58" i="12"/>
  <c r="O58" i="12"/>
  <c r="G58" i="12"/>
  <c r="U58" i="12"/>
  <c r="M58" i="12"/>
  <c r="E58" i="12"/>
  <c r="I37" i="12"/>
  <c r="Q37" i="12"/>
  <c r="Y37" i="12"/>
  <c r="D38" i="12"/>
  <c r="L38" i="12"/>
  <c r="T38" i="12"/>
  <c r="AB38" i="12"/>
  <c r="G39" i="12"/>
  <c r="O39" i="12"/>
  <c r="P40" i="12"/>
  <c r="V42" i="12"/>
  <c r="AB44" i="12"/>
  <c r="E47" i="12"/>
  <c r="K49" i="12"/>
  <c r="F58" i="12"/>
  <c r="L60" i="12"/>
  <c r="R62" i="12"/>
  <c r="W51" i="12"/>
  <c r="O51" i="12"/>
  <c r="G51" i="12"/>
  <c r="V51" i="12"/>
  <c r="N51" i="12"/>
  <c r="F51" i="12"/>
  <c r="U51" i="12"/>
  <c r="M51" i="12"/>
  <c r="E51" i="12"/>
  <c r="AB51" i="12"/>
  <c r="T51" i="12"/>
  <c r="L51" i="12"/>
  <c r="D51" i="12"/>
  <c r="AA51" i="12"/>
  <c r="S51" i="12"/>
  <c r="K51" i="12"/>
  <c r="C51" i="12"/>
  <c r="Z51" i="12"/>
  <c r="R51" i="12"/>
  <c r="J51" i="12"/>
  <c r="B51" i="12"/>
  <c r="X51" i="12"/>
  <c r="P51" i="12"/>
  <c r="H51" i="12"/>
  <c r="N38" i="12"/>
  <c r="AB50" i="12"/>
  <c r="T50" i="12"/>
  <c r="L50" i="12"/>
  <c r="D50" i="12"/>
  <c r="AA50" i="12"/>
  <c r="S50" i="12"/>
  <c r="K50" i="12"/>
  <c r="C50" i="12"/>
  <c r="Z50" i="12"/>
  <c r="R50" i="12"/>
  <c r="J50" i="12"/>
  <c r="B50" i="12"/>
  <c r="Y50" i="12"/>
  <c r="Q50" i="12"/>
  <c r="I50" i="12"/>
  <c r="X50" i="12"/>
  <c r="P50" i="12"/>
  <c r="H50" i="12"/>
  <c r="W50" i="12"/>
  <c r="O50" i="12"/>
  <c r="G50" i="12"/>
  <c r="U50" i="12"/>
  <c r="M50" i="12"/>
  <c r="E50" i="12"/>
  <c r="Z52" i="12"/>
  <c r="R52" i="12"/>
  <c r="J52" i="12"/>
  <c r="B52" i="12"/>
  <c r="Y52" i="12"/>
  <c r="Q52" i="12"/>
  <c r="I52" i="12"/>
  <c r="X52" i="12"/>
  <c r="P52" i="12"/>
  <c r="H52" i="12"/>
  <c r="W52" i="12"/>
  <c r="O52" i="12"/>
  <c r="G52" i="12"/>
  <c r="V52" i="12"/>
  <c r="N52" i="12"/>
  <c r="F52" i="12"/>
  <c r="U52" i="12"/>
  <c r="M52" i="12"/>
  <c r="E52" i="12"/>
  <c r="AA52" i="12"/>
  <c r="S52" i="12"/>
  <c r="K52" i="12"/>
  <c r="C52" i="12"/>
  <c r="U53" i="12"/>
  <c r="M53" i="12"/>
  <c r="E53" i="12"/>
  <c r="AB53" i="12"/>
  <c r="T53" i="12"/>
  <c r="L53" i="12"/>
  <c r="D53" i="12"/>
  <c r="AA53" i="12"/>
  <c r="S53" i="12"/>
  <c r="K53" i="12"/>
  <c r="C53" i="12"/>
  <c r="Z53" i="12"/>
  <c r="R53" i="12"/>
  <c r="J53" i="12"/>
  <c r="B53" i="12"/>
  <c r="Y53" i="12"/>
  <c r="Q53" i="12"/>
  <c r="I53" i="12"/>
  <c r="X53" i="12"/>
  <c r="P53" i="12"/>
  <c r="H53" i="12"/>
  <c r="V53" i="12"/>
  <c r="N53" i="12"/>
  <c r="F53" i="12"/>
  <c r="B37" i="12"/>
  <c r="J37" i="12"/>
  <c r="R37" i="12"/>
  <c r="E38" i="12"/>
  <c r="M38" i="12"/>
  <c r="P39" i="12"/>
  <c r="X40" i="12"/>
  <c r="G45" i="12"/>
  <c r="M47" i="12"/>
  <c r="S49" i="12"/>
  <c r="Y51" i="12"/>
  <c r="B54" i="12"/>
  <c r="H56" i="12"/>
  <c r="N58" i="12"/>
  <c r="T60" i="12"/>
  <c r="Z62" i="12"/>
  <c r="N36" i="11"/>
  <c r="S36" i="11"/>
  <c r="G36" i="11"/>
  <c r="J36" i="11"/>
  <c r="AA37" i="11"/>
  <c r="L52" i="11"/>
  <c r="R39" i="11"/>
  <c r="S37" i="11"/>
  <c r="M36" i="11"/>
  <c r="T36" i="11"/>
  <c r="C41" i="11"/>
  <c r="P56" i="11"/>
  <c r="F36" i="11"/>
  <c r="K36" i="11"/>
  <c r="V36" i="11"/>
  <c r="I43" i="11"/>
  <c r="Q36" i="11"/>
  <c r="O45" i="11"/>
  <c r="D36" i="11"/>
  <c r="O36" i="11"/>
  <c r="R36" i="11"/>
  <c r="U47" i="11"/>
  <c r="E36" i="11"/>
  <c r="L36" i="11"/>
  <c r="I39" i="11"/>
  <c r="H36" i="11"/>
  <c r="K37" i="11"/>
  <c r="P36" i="11"/>
  <c r="U36" i="11"/>
  <c r="Q39" i="11"/>
  <c r="G61" i="11"/>
  <c r="J54" i="11"/>
  <c r="I36" i="11"/>
  <c r="D37" i="11"/>
  <c r="L37" i="11"/>
  <c r="T37" i="11"/>
  <c r="AB37" i="11"/>
  <c r="B39" i="11"/>
  <c r="J39" i="11"/>
  <c r="Q43" i="11"/>
  <c r="R54" i="11"/>
  <c r="Y41" i="11"/>
  <c r="Q41" i="11"/>
  <c r="I41" i="11"/>
  <c r="X41" i="11"/>
  <c r="P41" i="11"/>
  <c r="H41" i="11"/>
  <c r="W41" i="11"/>
  <c r="O41" i="11"/>
  <c r="G41" i="11"/>
  <c r="V41" i="11"/>
  <c r="N41" i="11"/>
  <c r="F41" i="11"/>
  <c r="U41" i="11"/>
  <c r="M41" i="11"/>
  <c r="E41" i="11"/>
  <c r="AB41" i="11"/>
  <c r="T41" i="11"/>
  <c r="L41" i="11"/>
  <c r="D41" i="11"/>
  <c r="Z41" i="11"/>
  <c r="R41" i="11"/>
  <c r="J41" i="11"/>
  <c r="B41" i="11"/>
  <c r="V48" i="11"/>
  <c r="N48" i="11"/>
  <c r="F48" i="11"/>
  <c r="U48" i="11"/>
  <c r="M48" i="11"/>
  <c r="E48" i="11"/>
  <c r="AB48" i="11"/>
  <c r="T48" i="11"/>
  <c r="L48" i="11"/>
  <c r="D48" i="11"/>
  <c r="AA48" i="11"/>
  <c r="S48" i="11"/>
  <c r="K48" i="11"/>
  <c r="C48" i="11"/>
  <c r="Z48" i="11"/>
  <c r="R48" i="11"/>
  <c r="J48" i="11"/>
  <c r="B48" i="11"/>
  <c r="Y48" i="11"/>
  <c r="Q48" i="11"/>
  <c r="I48" i="11"/>
  <c r="W48" i="11"/>
  <c r="O48" i="11"/>
  <c r="G48" i="11"/>
  <c r="AA39" i="11"/>
  <c r="Z39" i="11"/>
  <c r="Y39" i="11"/>
  <c r="X39" i="11"/>
  <c r="W39" i="11"/>
  <c r="V39" i="11"/>
  <c r="AB39" i="11"/>
  <c r="T39" i="11"/>
  <c r="AB50" i="11"/>
  <c r="T50" i="11"/>
  <c r="L50" i="11"/>
  <c r="D50" i="11"/>
  <c r="AA50" i="11"/>
  <c r="S50" i="11"/>
  <c r="K50" i="11"/>
  <c r="C50" i="11"/>
  <c r="Z50" i="11"/>
  <c r="R50" i="11"/>
  <c r="J50" i="11"/>
  <c r="B50" i="11"/>
  <c r="Y50" i="11"/>
  <c r="Q50" i="11"/>
  <c r="I50" i="11"/>
  <c r="X50" i="11"/>
  <c r="P50" i="11"/>
  <c r="H50" i="11"/>
  <c r="W50" i="11"/>
  <c r="O50" i="11"/>
  <c r="G50" i="11"/>
  <c r="U50" i="11"/>
  <c r="M50" i="11"/>
  <c r="E50" i="11"/>
  <c r="AA55" i="11"/>
  <c r="S55" i="11"/>
  <c r="K55" i="11"/>
  <c r="C55" i="11"/>
  <c r="Z55" i="11"/>
  <c r="R55" i="11"/>
  <c r="J55" i="11"/>
  <c r="B55" i="11"/>
  <c r="Y55" i="11"/>
  <c r="Q55" i="11"/>
  <c r="I55" i="11"/>
  <c r="X55" i="11"/>
  <c r="P55" i="11"/>
  <c r="H55" i="11"/>
  <c r="W55" i="11"/>
  <c r="O55" i="11"/>
  <c r="G55" i="11"/>
  <c r="V55" i="11"/>
  <c r="N55" i="11"/>
  <c r="F55" i="11"/>
  <c r="AB55" i="11"/>
  <c r="T55" i="11"/>
  <c r="L55" i="11"/>
  <c r="D55" i="11"/>
  <c r="B36" i="11"/>
  <c r="E37" i="11"/>
  <c r="M37" i="11"/>
  <c r="U37" i="11"/>
  <c r="K39" i="11"/>
  <c r="S39" i="11"/>
  <c r="S41" i="11"/>
  <c r="B46" i="11"/>
  <c r="H48" i="11"/>
  <c r="N50" i="11"/>
  <c r="T52" i="11"/>
  <c r="C57" i="11"/>
  <c r="I59" i="11"/>
  <c r="Z44" i="11"/>
  <c r="R44" i="11"/>
  <c r="J44" i="11"/>
  <c r="B44" i="11"/>
  <c r="Y44" i="11"/>
  <c r="Q44" i="11"/>
  <c r="I44" i="11"/>
  <c r="X44" i="11"/>
  <c r="P44" i="11"/>
  <c r="H44" i="11"/>
  <c r="W44" i="11"/>
  <c r="O44" i="11"/>
  <c r="G44" i="11"/>
  <c r="V44" i="11"/>
  <c r="N44" i="11"/>
  <c r="F44" i="11"/>
  <c r="U44" i="11"/>
  <c r="M44" i="11"/>
  <c r="E44" i="11"/>
  <c r="AA44" i="11"/>
  <c r="S44" i="11"/>
  <c r="K44" i="11"/>
  <c r="C44" i="11"/>
  <c r="U45" i="11"/>
  <c r="M45" i="11"/>
  <c r="E45" i="11"/>
  <c r="AB45" i="11"/>
  <c r="T45" i="11"/>
  <c r="L45" i="11"/>
  <c r="D45" i="11"/>
  <c r="AA45" i="11"/>
  <c r="S45" i="11"/>
  <c r="K45" i="11"/>
  <c r="C45" i="11"/>
  <c r="Z45" i="11"/>
  <c r="R45" i="11"/>
  <c r="J45" i="11"/>
  <c r="B45" i="11"/>
  <c r="Y45" i="11"/>
  <c r="Q45" i="11"/>
  <c r="I45" i="11"/>
  <c r="X45" i="11"/>
  <c r="P45" i="11"/>
  <c r="H45" i="11"/>
  <c r="V45" i="11"/>
  <c r="N45" i="11"/>
  <c r="F45" i="11"/>
  <c r="Z60" i="11"/>
  <c r="R60" i="11"/>
  <c r="J60" i="11"/>
  <c r="B60" i="11"/>
  <c r="Y60" i="11"/>
  <c r="Q60" i="11"/>
  <c r="I60" i="11"/>
  <c r="X60" i="11"/>
  <c r="P60" i="11"/>
  <c r="H60" i="11"/>
  <c r="W60" i="11"/>
  <c r="O60" i="11"/>
  <c r="G60" i="11"/>
  <c r="V60" i="11"/>
  <c r="N60" i="11"/>
  <c r="F60" i="11"/>
  <c r="U60" i="11"/>
  <c r="M60" i="11"/>
  <c r="E60" i="11"/>
  <c r="AA60" i="11"/>
  <c r="S60" i="11"/>
  <c r="K60" i="11"/>
  <c r="C60" i="11"/>
  <c r="U61" i="11"/>
  <c r="M61" i="11"/>
  <c r="E61" i="11"/>
  <c r="AB61" i="11"/>
  <c r="T61" i="11"/>
  <c r="L61" i="11"/>
  <c r="D61" i="11"/>
  <c r="AA61" i="11"/>
  <c r="S61" i="11"/>
  <c r="K61" i="11"/>
  <c r="C61" i="11"/>
  <c r="Z61" i="11"/>
  <c r="R61" i="11"/>
  <c r="J61" i="11"/>
  <c r="B61" i="11"/>
  <c r="Y61" i="11"/>
  <c r="Q61" i="11"/>
  <c r="I61" i="11"/>
  <c r="X61" i="11"/>
  <c r="P61" i="11"/>
  <c r="H61" i="11"/>
  <c r="V61" i="11"/>
  <c r="N61" i="11"/>
  <c r="F61" i="11"/>
  <c r="F37" i="11"/>
  <c r="N37" i="11"/>
  <c r="V37" i="11"/>
  <c r="D39" i="11"/>
  <c r="L39" i="11"/>
  <c r="U39" i="11"/>
  <c r="AA41" i="11"/>
  <c r="D44" i="11"/>
  <c r="P48" i="11"/>
  <c r="V50" i="11"/>
  <c r="E55" i="11"/>
  <c r="W61" i="11"/>
  <c r="C8" i="11"/>
  <c r="G38" i="11" s="1"/>
  <c r="Y57" i="11"/>
  <c r="Q57" i="11"/>
  <c r="I57" i="11"/>
  <c r="X57" i="11"/>
  <c r="P57" i="11"/>
  <c r="H57" i="11"/>
  <c r="W57" i="11"/>
  <c r="O57" i="11"/>
  <c r="G57" i="11"/>
  <c r="V57" i="11"/>
  <c r="N57" i="11"/>
  <c r="F57" i="11"/>
  <c r="U57" i="11"/>
  <c r="M57" i="11"/>
  <c r="E57" i="11"/>
  <c r="AB57" i="11"/>
  <c r="T57" i="11"/>
  <c r="L57" i="11"/>
  <c r="D57" i="11"/>
  <c r="Z57" i="11"/>
  <c r="R57" i="11"/>
  <c r="J57" i="11"/>
  <c r="B57" i="11"/>
  <c r="W43" i="11"/>
  <c r="O43" i="11"/>
  <c r="G43" i="11"/>
  <c r="V43" i="11"/>
  <c r="N43" i="11"/>
  <c r="F43" i="11"/>
  <c r="U43" i="11"/>
  <c r="M43" i="11"/>
  <c r="E43" i="11"/>
  <c r="AB43" i="11"/>
  <c r="T43" i="11"/>
  <c r="L43" i="11"/>
  <c r="D43" i="11"/>
  <c r="AA43" i="11"/>
  <c r="S43" i="11"/>
  <c r="K43" i="11"/>
  <c r="C43" i="11"/>
  <c r="Z43" i="11"/>
  <c r="R43" i="11"/>
  <c r="J43" i="11"/>
  <c r="B43" i="11"/>
  <c r="X43" i="11"/>
  <c r="P43" i="11"/>
  <c r="H43" i="11"/>
  <c r="X46" i="11"/>
  <c r="P46" i="11"/>
  <c r="H46" i="11"/>
  <c r="W46" i="11"/>
  <c r="O46" i="11"/>
  <c r="G46" i="11"/>
  <c r="V46" i="11"/>
  <c r="N46" i="11"/>
  <c r="F46" i="11"/>
  <c r="U46" i="11"/>
  <c r="M46" i="11"/>
  <c r="E46" i="11"/>
  <c r="AB46" i="11"/>
  <c r="T46" i="11"/>
  <c r="L46" i="11"/>
  <c r="D46" i="11"/>
  <c r="AA46" i="11"/>
  <c r="S46" i="11"/>
  <c r="K46" i="11"/>
  <c r="C46" i="11"/>
  <c r="Y46" i="11"/>
  <c r="Q46" i="11"/>
  <c r="I46" i="11"/>
  <c r="W59" i="11"/>
  <c r="O59" i="11"/>
  <c r="G59" i="11"/>
  <c r="V59" i="11"/>
  <c r="N59" i="11"/>
  <c r="F59" i="11"/>
  <c r="U59" i="11"/>
  <c r="M59" i="11"/>
  <c r="E59" i="11"/>
  <c r="AB59" i="11"/>
  <c r="T59" i="11"/>
  <c r="L59" i="11"/>
  <c r="D59" i="11"/>
  <c r="AA59" i="11"/>
  <c r="S59" i="11"/>
  <c r="K59" i="11"/>
  <c r="C59" i="11"/>
  <c r="Z59" i="11"/>
  <c r="R59" i="11"/>
  <c r="J59" i="11"/>
  <c r="B59" i="11"/>
  <c r="X59" i="11"/>
  <c r="P59" i="11"/>
  <c r="H59" i="11"/>
  <c r="X62" i="11"/>
  <c r="P62" i="11"/>
  <c r="H62" i="11"/>
  <c r="W62" i="11"/>
  <c r="O62" i="11"/>
  <c r="G62" i="11"/>
  <c r="V62" i="11"/>
  <c r="N62" i="11"/>
  <c r="F62" i="11"/>
  <c r="U62" i="11"/>
  <c r="M62" i="11"/>
  <c r="E62" i="11"/>
  <c r="AB62" i="11"/>
  <c r="T62" i="11"/>
  <c r="L62" i="11"/>
  <c r="D62" i="11"/>
  <c r="AA62" i="11"/>
  <c r="S62" i="11"/>
  <c r="K62" i="11"/>
  <c r="C62" i="11"/>
  <c r="Y62" i="11"/>
  <c r="Q62" i="11"/>
  <c r="I62" i="11"/>
  <c r="G37" i="11"/>
  <c r="O37" i="11"/>
  <c r="W37" i="11"/>
  <c r="E39" i="11"/>
  <c r="M39" i="11"/>
  <c r="F42" i="11"/>
  <c r="L44" i="11"/>
  <c r="R46" i="11"/>
  <c r="X48" i="11"/>
  <c r="G53" i="11"/>
  <c r="M55" i="11"/>
  <c r="S57" i="11"/>
  <c r="Y59" i="11"/>
  <c r="B62" i="11"/>
  <c r="V40" i="11"/>
  <c r="N40" i="11"/>
  <c r="F40" i="11"/>
  <c r="U40" i="11"/>
  <c r="M40" i="11"/>
  <c r="E40" i="11"/>
  <c r="AB40" i="11"/>
  <c r="T40" i="11"/>
  <c r="L40" i="11"/>
  <c r="D40" i="11"/>
  <c r="AA40" i="11"/>
  <c r="S40" i="11"/>
  <c r="K40" i="11"/>
  <c r="Z40" i="11"/>
  <c r="R40" i="11"/>
  <c r="J40" i="11"/>
  <c r="B40" i="11"/>
  <c r="Y40" i="11"/>
  <c r="Q40" i="11"/>
  <c r="I40" i="11"/>
  <c r="W40" i="11"/>
  <c r="O40" i="11"/>
  <c r="G40" i="11"/>
  <c r="Y49" i="11"/>
  <c r="Q49" i="11"/>
  <c r="I49" i="11"/>
  <c r="X49" i="11"/>
  <c r="P49" i="11"/>
  <c r="H49" i="11"/>
  <c r="W49" i="11"/>
  <c r="O49" i="11"/>
  <c r="G49" i="11"/>
  <c r="V49" i="11"/>
  <c r="N49" i="11"/>
  <c r="F49" i="11"/>
  <c r="U49" i="11"/>
  <c r="M49" i="11"/>
  <c r="E49" i="11"/>
  <c r="AB49" i="11"/>
  <c r="T49" i="11"/>
  <c r="L49" i="11"/>
  <c r="D49" i="11"/>
  <c r="Z49" i="11"/>
  <c r="R49" i="11"/>
  <c r="J49" i="11"/>
  <c r="B49" i="11"/>
  <c r="V56" i="11"/>
  <c r="N56" i="11"/>
  <c r="F56" i="11"/>
  <c r="U56" i="11"/>
  <c r="M56" i="11"/>
  <c r="E56" i="11"/>
  <c r="AB56" i="11"/>
  <c r="T56" i="11"/>
  <c r="L56" i="11"/>
  <c r="D56" i="11"/>
  <c r="AA56" i="11"/>
  <c r="S56" i="11"/>
  <c r="K56" i="11"/>
  <c r="C56" i="11"/>
  <c r="Z56" i="11"/>
  <c r="R56" i="11"/>
  <c r="J56" i="11"/>
  <c r="B56" i="11"/>
  <c r="Y56" i="11"/>
  <c r="Q56" i="11"/>
  <c r="I56" i="11"/>
  <c r="W56" i="11"/>
  <c r="O56" i="11"/>
  <c r="G56" i="11"/>
  <c r="H37" i="11"/>
  <c r="P37" i="11"/>
  <c r="X37" i="11"/>
  <c r="F39" i="11"/>
  <c r="N39" i="11"/>
  <c r="H40" i="11"/>
  <c r="N42" i="11"/>
  <c r="T44" i="11"/>
  <c r="Z46" i="11"/>
  <c r="C49" i="11"/>
  <c r="O53" i="11"/>
  <c r="U55" i="11"/>
  <c r="AA57" i="11"/>
  <c r="D60" i="11"/>
  <c r="J62" i="11"/>
  <c r="W51" i="11"/>
  <c r="O51" i="11"/>
  <c r="G51" i="11"/>
  <c r="V51" i="11"/>
  <c r="N51" i="11"/>
  <c r="F51" i="11"/>
  <c r="U51" i="11"/>
  <c r="M51" i="11"/>
  <c r="E51" i="11"/>
  <c r="AB51" i="11"/>
  <c r="T51" i="11"/>
  <c r="L51" i="11"/>
  <c r="D51" i="11"/>
  <c r="AA51" i="11"/>
  <c r="S51" i="11"/>
  <c r="K51" i="11"/>
  <c r="C51" i="11"/>
  <c r="Z51" i="11"/>
  <c r="R51" i="11"/>
  <c r="J51" i="11"/>
  <c r="B51" i="11"/>
  <c r="X51" i="11"/>
  <c r="P51" i="11"/>
  <c r="H51" i="11"/>
  <c r="AB58" i="11"/>
  <c r="T58" i="11"/>
  <c r="L58" i="11"/>
  <c r="D58" i="11"/>
  <c r="AA58" i="11"/>
  <c r="S58" i="11"/>
  <c r="K58" i="11"/>
  <c r="C58" i="11"/>
  <c r="Z58" i="11"/>
  <c r="R58" i="11"/>
  <c r="J58" i="11"/>
  <c r="B58" i="11"/>
  <c r="Y58" i="11"/>
  <c r="Q58" i="11"/>
  <c r="I58" i="11"/>
  <c r="X58" i="11"/>
  <c r="P58" i="11"/>
  <c r="H58" i="11"/>
  <c r="W58" i="11"/>
  <c r="O58" i="11"/>
  <c r="G58" i="11"/>
  <c r="U58" i="11"/>
  <c r="M58" i="11"/>
  <c r="E58" i="11"/>
  <c r="I37" i="11"/>
  <c r="Q37" i="11"/>
  <c r="Y37" i="11"/>
  <c r="L38" i="11"/>
  <c r="T38" i="11"/>
  <c r="AB38" i="11"/>
  <c r="G39" i="11"/>
  <c r="O39" i="11"/>
  <c r="P40" i="11"/>
  <c r="AB44" i="11"/>
  <c r="K49" i="11"/>
  <c r="Q51" i="11"/>
  <c r="F58" i="11"/>
  <c r="L60" i="11"/>
  <c r="R62" i="11"/>
  <c r="X54" i="11"/>
  <c r="P54" i="11"/>
  <c r="H54" i="11"/>
  <c r="W54" i="11"/>
  <c r="O54" i="11"/>
  <c r="G54" i="11"/>
  <c r="V54" i="11"/>
  <c r="N54" i="11"/>
  <c r="F54" i="11"/>
  <c r="U54" i="11"/>
  <c r="M54" i="11"/>
  <c r="E54" i="11"/>
  <c r="AB54" i="11"/>
  <c r="T54" i="11"/>
  <c r="L54" i="11"/>
  <c r="D54" i="11"/>
  <c r="AA54" i="11"/>
  <c r="S54" i="11"/>
  <c r="K54" i="11"/>
  <c r="C54" i="11"/>
  <c r="Y54" i="11"/>
  <c r="Q54" i="11"/>
  <c r="I54" i="11"/>
  <c r="AB42" i="11"/>
  <c r="T42" i="11"/>
  <c r="L42" i="11"/>
  <c r="D42" i="11"/>
  <c r="AA42" i="11"/>
  <c r="S42" i="11"/>
  <c r="K42" i="11"/>
  <c r="C42" i="11"/>
  <c r="Z42" i="11"/>
  <c r="R42" i="11"/>
  <c r="J42" i="11"/>
  <c r="B42" i="11"/>
  <c r="Y42" i="11"/>
  <c r="Q42" i="11"/>
  <c r="I42" i="11"/>
  <c r="X42" i="11"/>
  <c r="P42" i="11"/>
  <c r="H42" i="11"/>
  <c r="W42" i="11"/>
  <c r="O42" i="11"/>
  <c r="G42" i="11"/>
  <c r="U42" i="11"/>
  <c r="M42" i="11"/>
  <c r="E42" i="11"/>
  <c r="AA47" i="11"/>
  <c r="S47" i="11"/>
  <c r="K47" i="11"/>
  <c r="C47" i="11"/>
  <c r="Z47" i="11"/>
  <c r="R47" i="11"/>
  <c r="J47" i="11"/>
  <c r="B47" i="11"/>
  <c r="Y47" i="11"/>
  <c r="Q47" i="11"/>
  <c r="I47" i="11"/>
  <c r="X47" i="11"/>
  <c r="P47" i="11"/>
  <c r="H47" i="11"/>
  <c r="W47" i="11"/>
  <c r="O47" i="11"/>
  <c r="G47" i="11"/>
  <c r="V47" i="11"/>
  <c r="N47" i="11"/>
  <c r="F47" i="11"/>
  <c r="AB47" i="11"/>
  <c r="T47" i="11"/>
  <c r="L47" i="11"/>
  <c r="D47" i="11"/>
  <c r="Z52" i="11"/>
  <c r="R52" i="11"/>
  <c r="J52" i="11"/>
  <c r="B52" i="11"/>
  <c r="Y52" i="11"/>
  <c r="Q52" i="11"/>
  <c r="I52" i="11"/>
  <c r="X52" i="11"/>
  <c r="P52" i="11"/>
  <c r="H52" i="11"/>
  <c r="W52" i="11"/>
  <c r="O52" i="11"/>
  <c r="G52" i="11"/>
  <c r="V52" i="11"/>
  <c r="N52" i="11"/>
  <c r="F52" i="11"/>
  <c r="U52" i="11"/>
  <c r="M52" i="11"/>
  <c r="E52" i="11"/>
  <c r="AA52" i="11"/>
  <c r="S52" i="11"/>
  <c r="K52" i="11"/>
  <c r="C52" i="11"/>
  <c r="U53" i="11"/>
  <c r="M53" i="11"/>
  <c r="E53" i="11"/>
  <c r="AB53" i="11"/>
  <c r="T53" i="11"/>
  <c r="L53" i="11"/>
  <c r="D53" i="11"/>
  <c r="AA53" i="11"/>
  <c r="S53" i="11"/>
  <c r="K53" i="11"/>
  <c r="C53" i="11"/>
  <c r="Z53" i="11"/>
  <c r="R53" i="11"/>
  <c r="J53" i="11"/>
  <c r="B53" i="11"/>
  <c r="Y53" i="11"/>
  <c r="Q53" i="11"/>
  <c r="I53" i="11"/>
  <c r="X53" i="11"/>
  <c r="P53" i="11"/>
  <c r="H53" i="11"/>
  <c r="V53" i="11"/>
  <c r="N53" i="11"/>
  <c r="F53" i="11"/>
  <c r="B37" i="11"/>
  <c r="J37" i="11"/>
  <c r="R37" i="11"/>
  <c r="M38" i="11"/>
  <c r="H39" i="11"/>
  <c r="P39" i="11"/>
  <c r="X40" i="11"/>
  <c r="G45" i="11"/>
  <c r="M47" i="11"/>
  <c r="S49" i="11"/>
  <c r="Y51" i="11"/>
  <c r="B54" i="11"/>
  <c r="H56" i="11"/>
  <c r="N58" i="11"/>
  <c r="T60" i="11"/>
  <c r="Z62" i="11"/>
  <c r="AA32" i="10"/>
  <c r="Z32" i="10"/>
  <c r="Y32" i="10"/>
  <c r="X32" i="10"/>
  <c r="W32" i="10"/>
  <c r="V32" i="10"/>
  <c r="U32" i="10"/>
  <c r="T32" i="10"/>
  <c r="S32" i="10"/>
  <c r="R32" i="10"/>
  <c r="Q32" i="10"/>
  <c r="P32" i="10"/>
  <c r="Z31" i="10"/>
  <c r="Y31" i="10"/>
  <c r="X31" i="10"/>
  <c r="W31" i="10"/>
  <c r="V31" i="10"/>
  <c r="U31" i="10"/>
  <c r="T31" i="10"/>
  <c r="S31" i="10"/>
  <c r="R31" i="10"/>
  <c r="Q31" i="10"/>
  <c r="P31" i="10"/>
  <c r="Y30" i="10"/>
  <c r="W30" i="10"/>
  <c r="X30" i="10"/>
  <c r="U30" i="10"/>
  <c r="V30" i="10"/>
  <c r="S30" i="10"/>
  <c r="T30" i="10"/>
  <c r="Q30" i="10"/>
  <c r="R30" i="10"/>
  <c r="P30" i="10"/>
  <c r="W29" i="10"/>
  <c r="X29" i="10"/>
  <c r="T29" i="10"/>
  <c r="U29" i="10"/>
  <c r="V29" i="10"/>
  <c r="Q29" i="10"/>
  <c r="R29" i="10"/>
  <c r="S29" i="10"/>
  <c r="P29" i="10"/>
  <c r="U28" i="10"/>
  <c r="V28" i="10"/>
  <c r="W28" i="10"/>
  <c r="Q28" i="10"/>
  <c r="R28" i="10"/>
  <c r="S28" i="10"/>
  <c r="T28" i="10"/>
  <c r="P28" i="10"/>
  <c r="U27" i="10"/>
  <c r="V27" i="10"/>
  <c r="Q27" i="10"/>
  <c r="R27" i="10"/>
  <c r="S27" i="10"/>
  <c r="T27" i="10"/>
  <c r="P27" i="10"/>
  <c r="U26" i="10"/>
  <c r="T26" i="10"/>
  <c r="Q26" i="10"/>
  <c r="R26" i="10"/>
  <c r="S26" i="10"/>
  <c r="P26" i="10"/>
  <c r="Q25" i="10"/>
  <c r="R25" i="10"/>
  <c r="S25" i="10"/>
  <c r="T25" i="10"/>
  <c r="P25" i="10"/>
  <c r="Q24" i="10"/>
  <c r="R24" i="10"/>
  <c r="S24" i="10"/>
  <c r="P24" i="10"/>
  <c r="Q23" i="10"/>
  <c r="R23" i="10"/>
  <c r="P23" i="10"/>
  <c r="Q22" i="10"/>
  <c r="P22" i="10"/>
  <c r="D13" i="9"/>
  <c r="B32" i="10"/>
  <c r="J29" i="10"/>
  <c r="I29" i="10"/>
  <c r="H29" i="10"/>
  <c r="B29" i="10"/>
  <c r="J28" i="10"/>
  <c r="I28" i="10"/>
  <c r="H28" i="10"/>
  <c r="B28" i="10"/>
  <c r="L27" i="10"/>
  <c r="I27" i="10"/>
  <c r="J27" i="10"/>
  <c r="H27" i="10"/>
  <c r="E27" i="10"/>
  <c r="D27" i="10"/>
  <c r="B27" i="10"/>
  <c r="L26" i="10"/>
  <c r="I26" i="10"/>
  <c r="J26" i="10"/>
  <c r="H26" i="10"/>
  <c r="E26" i="10"/>
  <c r="D26" i="10"/>
  <c r="B26" i="10"/>
  <c r="H25" i="10"/>
  <c r="I25" i="10"/>
  <c r="J25" i="10"/>
  <c r="B25" i="10"/>
  <c r="M24" i="10"/>
  <c r="N24" i="10"/>
  <c r="O24" i="10"/>
  <c r="H24" i="10"/>
  <c r="I24" i="10"/>
  <c r="J24" i="10"/>
  <c r="K24" i="10"/>
  <c r="L24" i="10"/>
  <c r="C24" i="10"/>
  <c r="D24" i="10"/>
  <c r="E24" i="10"/>
  <c r="F24" i="10"/>
  <c r="B24" i="10"/>
  <c r="I23" i="10"/>
  <c r="J23" i="10"/>
  <c r="H23" i="10"/>
  <c r="B23" i="10"/>
  <c r="J22" i="10"/>
  <c r="H22" i="10"/>
  <c r="B22" i="10"/>
  <c r="P21" i="10"/>
  <c r="H21" i="10"/>
  <c r="J21" i="10"/>
  <c r="B21" i="10"/>
  <c r="E20" i="10"/>
  <c r="H20" i="10"/>
  <c r="I20" i="10"/>
  <c r="J20" i="10"/>
  <c r="B20" i="10"/>
  <c r="M19" i="10"/>
  <c r="N19" i="10"/>
  <c r="C19" i="10"/>
  <c r="D19" i="10"/>
  <c r="E19" i="10"/>
  <c r="F19" i="10"/>
  <c r="G19" i="10"/>
  <c r="H19" i="10"/>
  <c r="I19" i="10"/>
  <c r="J19" i="10"/>
  <c r="K19" i="10"/>
  <c r="L19" i="10"/>
  <c r="B19" i="10"/>
  <c r="C18" i="10"/>
  <c r="D18" i="10"/>
  <c r="E18" i="10"/>
  <c r="F18" i="10"/>
  <c r="G18" i="10"/>
  <c r="H18" i="10"/>
  <c r="I18" i="10"/>
  <c r="J18" i="10"/>
  <c r="K18" i="10"/>
  <c r="L18" i="10"/>
  <c r="M18" i="10"/>
  <c r="B18" i="10"/>
  <c r="C17" i="10"/>
  <c r="D17" i="10"/>
  <c r="E17" i="10"/>
  <c r="F17" i="10"/>
  <c r="G17" i="10"/>
  <c r="H17" i="10"/>
  <c r="I17" i="10"/>
  <c r="J17" i="10"/>
  <c r="K17" i="10"/>
  <c r="L17" i="10"/>
  <c r="B17" i="10"/>
  <c r="C16" i="10"/>
  <c r="D16" i="10"/>
  <c r="E16" i="10"/>
  <c r="H16" i="10"/>
  <c r="I16" i="10"/>
  <c r="J16" i="10"/>
  <c r="K16" i="10"/>
  <c r="B16" i="10"/>
  <c r="H15" i="10"/>
  <c r="I15" i="10"/>
  <c r="B15" i="10"/>
  <c r="B14" i="10"/>
  <c r="H14" i="10"/>
  <c r="H13" i="10"/>
  <c r="D13" i="10"/>
  <c r="E13" i="10"/>
  <c r="F13" i="10"/>
  <c r="G13" i="10"/>
  <c r="B13" i="10"/>
  <c r="B12" i="10"/>
  <c r="B11" i="10"/>
  <c r="D11" i="10"/>
  <c r="E11" i="10"/>
  <c r="F11" i="10"/>
  <c r="B10" i="10"/>
  <c r="C10" i="10"/>
  <c r="D10" i="10"/>
  <c r="E10" i="10"/>
  <c r="B9" i="10"/>
  <c r="B8" i="10"/>
  <c r="B7" i="10"/>
  <c r="N32" i="10"/>
  <c r="O32" i="10"/>
  <c r="L32" i="10"/>
  <c r="M32" i="10"/>
  <c r="J32" i="10"/>
  <c r="K32" i="10"/>
  <c r="H32" i="10"/>
  <c r="I32" i="10"/>
  <c r="F32" i="10"/>
  <c r="G32" i="10"/>
  <c r="D32" i="10"/>
  <c r="E32" i="10"/>
  <c r="C32" i="10"/>
  <c r="N31" i="10"/>
  <c r="O31" i="10"/>
  <c r="K31" i="10"/>
  <c r="L31" i="10"/>
  <c r="M31" i="10"/>
  <c r="H31" i="10"/>
  <c r="I31" i="10"/>
  <c r="J31" i="10"/>
  <c r="E31" i="10"/>
  <c r="F31" i="10"/>
  <c r="G31" i="10"/>
  <c r="C31" i="10"/>
  <c r="D31" i="10"/>
  <c r="B31" i="10"/>
  <c r="O30" i="10"/>
  <c r="M30" i="10"/>
  <c r="N30" i="10"/>
  <c r="K30" i="10"/>
  <c r="L30" i="10"/>
  <c r="I30" i="10"/>
  <c r="J30" i="10"/>
  <c r="G30" i="10"/>
  <c r="H30" i="10"/>
  <c r="E30" i="10"/>
  <c r="F30" i="10"/>
  <c r="C30" i="10"/>
  <c r="D30" i="10"/>
  <c r="B30" i="10"/>
  <c r="O29" i="10"/>
  <c r="O28" i="10"/>
  <c r="O27" i="10"/>
  <c r="O26" i="10"/>
  <c r="O25" i="10"/>
  <c r="O23" i="10"/>
  <c r="O22" i="10"/>
  <c r="O21" i="10"/>
  <c r="O20" i="10"/>
  <c r="N29" i="10"/>
  <c r="N28" i="10"/>
  <c r="N27" i="10"/>
  <c r="N26" i="10"/>
  <c r="N25" i="10"/>
  <c r="N23" i="10"/>
  <c r="N22" i="10"/>
  <c r="N21" i="10"/>
  <c r="N20" i="10"/>
  <c r="M29" i="10"/>
  <c r="M28" i="10"/>
  <c r="M27" i="10"/>
  <c r="M26" i="10"/>
  <c r="M25" i="10"/>
  <c r="M23" i="10"/>
  <c r="M22" i="10"/>
  <c r="M21" i="10"/>
  <c r="M20" i="10"/>
  <c r="L29" i="10"/>
  <c r="L28" i="10"/>
  <c r="L25" i="10"/>
  <c r="L23" i="10"/>
  <c r="L22" i="10"/>
  <c r="L21" i="10"/>
  <c r="L20" i="10"/>
  <c r="K29" i="10"/>
  <c r="K28" i="10"/>
  <c r="K27" i="10"/>
  <c r="K26" i="10"/>
  <c r="K25" i="10"/>
  <c r="K23" i="10"/>
  <c r="K22" i="10"/>
  <c r="K21" i="10"/>
  <c r="K20" i="10"/>
  <c r="I22" i="10"/>
  <c r="I21" i="10"/>
  <c r="G29" i="10"/>
  <c r="G28" i="10"/>
  <c r="G27" i="10"/>
  <c r="G26" i="10"/>
  <c r="G25" i="10"/>
  <c r="G23" i="10"/>
  <c r="G22" i="10"/>
  <c r="G21" i="10"/>
  <c r="G20" i="10"/>
  <c r="G16" i="10"/>
  <c r="F29" i="10"/>
  <c r="F28" i="10"/>
  <c r="F27" i="10"/>
  <c r="F26" i="10"/>
  <c r="F25" i="10"/>
  <c r="F23" i="10"/>
  <c r="F22" i="10"/>
  <c r="F21" i="10"/>
  <c r="F20" i="10"/>
  <c r="F16" i="10"/>
  <c r="E29" i="10"/>
  <c r="E28" i="10"/>
  <c r="E25" i="10"/>
  <c r="E23" i="10"/>
  <c r="E22" i="10"/>
  <c r="E21" i="10"/>
  <c r="D29" i="10"/>
  <c r="D28" i="10"/>
  <c r="D25" i="10"/>
  <c r="D23" i="10"/>
  <c r="D22" i="10"/>
  <c r="D21" i="10"/>
  <c r="D20" i="10"/>
  <c r="J15" i="10"/>
  <c r="D15" i="10"/>
  <c r="E15" i="10"/>
  <c r="F15" i="10"/>
  <c r="G15" i="10"/>
  <c r="I14" i="10"/>
  <c r="D14" i="10"/>
  <c r="E14" i="10"/>
  <c r="F14" i="10"/>
  <c r="G14" i="10"/>
  <c r="C13" i="10"/>
  <c r="D12" i="10"/>
  <c r="E12" i="10"/>
  <c r="F12" i="10"/>
  <c r="G12" i="10"/>
  <c r="C12" i="10"/>
  <c r="D9" i="10"/>
  <c r="C29" i="10"/>
  <c r="C28" i="10"/>
  <c r="C27" i="10"/>
  <c r="C26" i="10"/>
  <c r="C25" i="10"/>
  <c r="C23" i="10"/>
  <c r="C21" i="10"/>
  <c r="C20" i="10"/>
  <c r="C15" i="10"/>
  <c r="C14" i="10"/>
  <c r="C9" i="10"/>
  <c r="C8" i="10"/>
  <c r="E13" i="9"/>
  <c r="T37" i="10" l="1"/>
  <c r="M37" i="10"/>
  <c r="U37" i="10"/>
  <c r="F37" i="10"/>
  <c r="N37" i="10"/>
  <c r="V37" i="10"/>
  <c r="J37" i="10"/>
  <c r="G37" i="10"/>
  <c r="O37" i="10"/>
  <c r="W37" i="10"/>
  <c r="H37" i="10"/>
  <c r="P37" i="10"/>
  <c r="X37" i="10"/>
  <c r="Z37" i="10"/>
  <c r="I37" i="10"/>
  <c r="Q37" i="10"/>
  <c r="Y37" i="10"/>
  <c r="R37" i="10"/>
  <c r="K37" i="10"/>
  <c r="S37" i="10"/>
  <c r="AA37" i="10"/>
  <c r="L37" i="10"/>
  <c r="AB37" i="10"/>
  <c r="M38" i="10"/>
  <c r="U38" i="10"/>
  <c r="J38" i="10"/>
  <c r="F38" i="10"/>
  <c r="N38" i="10"/>
  <c r="V38" i="10"/>
  <c r="R38" i="10"/>
  <c r="G38" i="10"/>
  <c r="O38" i="10"/>
  <c r="W38" i="10"/>
  <c r="H38" i="10"/>
  <c r="P38" i="10"/>
  <c r="X38" i="10"/>
  <c r="Z38" i="10"/>
  <c r="I38" i="10"/>
  <c r="Q38" i="10"/>
  <c r="Y38" i="10"/>
  <c r="K38" i="10"/>
  <c r="S38" i="10"/>
  <c r="AA38" i="10"/>
  <c r="L38" i="10"/>
  <c r="T38" i="10"/>
  <c r="AB38" i="10"/>
  <c r="L39" i="10"/>
  <c r="T39" i="10"/>
  <c r="AB39" i="10"/>
  <c r="K39" i="10"/>
  <c r="M39" i="10"/>
  <c r="U39" i="10"/>
  <c r="F39" i="10"/>
  <c r="N39" i="10"/>
  <c r="V39" i="10"/>
  <c r="Z39" i="10"/>
  <c r="AA39" i="10"/>
  <c r="G39" i="10"/>
  <c r="O39" i="10"/>
  <c r="W39" i="10"/>
  <c r="R39" i="10"/>
  <c r="H39" i="10"/>
  <c r="P39" i="10"/>
  <c r="X39" i="10"/>
  <c r="J39" i="10"/>
  <c r="I39" i="10"/>
  <c r="Q39" i="10"/>
  <c r="Y39" i="10"/>
  <c r="S39" i="10"/>
  <c r="D39" i="10"/>
  <c r="D36" i="10"/>
  <c r="D38" i="10"/>
  <c r="D37" i="10"/>
  <c r="C39" i="10"/>
  <c r="C36" i="10"/>
  <c r="C38" i="10"/>
  <c r="C37" i="10"/>
  <c r="G40" i="10"/>
  <c r="O40" i="10"/>
  <c r="W40" i="10"/>
  <c r="E39" i="10"/>
  <c r="C40" i="10"/>
  <c r="M40" i="10"/>
  <c r="F40" i="10"/>
  <c r="H40" i="10"/>
  <c r="P40" i="10"/>
  <c r="X40" i="10"/>
  <c r="E36" i="10"/>
  <c r="AA40" i="10"/>
  <c r="E37" i="10"/>
  <c r="I40" i="10"/>
  <c r="Q40" i="10"/>
  <c r="Y40" i="10"/>
  <c r="E38" i="10"/>
  <c r="K40" i="10"/>
  <c r="J40" i="10"/>
  <c r="R40" i="10"/>
  <c r="Z40" i="10"/>
  <c r="S40" i="10"/>
  <c r="U40" i="10"/>
  <c r="N40" i="10"/>
  <c r="D40" i="10"/>
  <c r="L40" i="10"/>
  <c r="T40" i="10"/>
  <c r="AB40" i="10"/>
  <c r="E40" i="10"/>
  <c r="V40" i="10"/>
  <c r="J38" i="13"/>
  <c r="Y39" i="13"/>
  <c r="M39" i="13"/>
  <c r="Z39" i="13"/>
  <c r="W39" i="13"/>
  <c r="E39" i="13"/>
  <c r="T39" i="13"/>
  <c r="D39" i="13"/>
  <c r="G38" i="13"/>
  <c r="B38" i="13"/>
  <c r="AC41" i="13"/>
  <c r="AC58" i="13"/>
  <c r="K39" i="13"/>
  <c r="V39" i="13"/>
  <c r="L39" i="13"/>
  <c r="X38" i="13"/>
  <c r="X39" i="13"/>
  <c r="P38" i="13"/>
  <c r="AA39" i="13"/>
  <c r="J39" i="13"/>
  <c r="N38" i="13"/>
  <c r="AC45" i="13"/>
  <c r="AC53" i="13"/>
  <c r="AC57" i="13"/>
  <c r="AC61" i="13"/>
  <c r="AC42" i="13"/>
  <c r="E38" i="13"/>
  <c r="T38" i="13"/>
  <c r="C36" i="13"/>
  <c r="AC36" i="13" s="1"/>
  <c r="L38" i="13"/>
  <c r="U38" i="13"/>
  <c r="M38" i="13"/>
  <c r="AB38" i="13"/>
  <c r="D38" i="13"/>
  <c r="F38" i="13"/>
  <c r="AC47" i="13"/>
  <c r="AC55" i="13"/>
  <c r="AC51" i="13"/>
  <c r="AC50" i="13"/>
  <c r="AA38" i="13"/>
  <c r="AC44" i="13"/>
  <c r="S38" i="13"/>
  <c r="K38" i="13"/>
  <c r="AC49" i="13"/>
  <c r="AC59" i="13"/>
  <c r="AC43" i="13"/>
  <c r="Y38" i="13"/>
  <c r="O39" i="13"/>
  <c r="AB39" i="13"/>
  <c r="H39" i="13"/>
  <c r="G39" i="13"/>
  <c r="Q39" i="13"/>
  <c r="I39" i="13"/>
  <c r="P39" i="13"/>
  <c r="S39" i="13"/>
  <c r="AC54" i="13"/>
  <c r="AC48" i="13"/>
  <c r="B39" i="13"/>
  <c r="C37" i="13"/>
  <c r="AC37" i="13" s="1"/>
  <c r="AC52" i="13"/>
  <c r="AC62" i="13"/>
  <c r="W38" i="13"/>
  <c r="AC60" i="13"/>
  <c r="C38" i="13"/>
  <c r="Z38" i="13"/>
  <c r="AC46" i="13"/>
  <c r="Q38" i="13"/>
  <c r="C40" i="13"/>
  <c r="AC40" i="13" s="1"/>
  <c r="R38" i="13"/>
  <c r="AC56" i="13"/>
  <c r="I38" i="13"/>
  <c r="C39" i="13"/>
  <c r="O38" i="13"/>
  <c r="V38" i="13"/>
  <c r="Y39" i="12"/>
  <c r="AC58" i="12"/>
  <c r="AC42" i="12"/>
  <c r="C38" i="12"/>
  <c r="AC38" i="12" s="1"/>
  <c r="AC46" i="12"/>
  <c r="K39" i="12"/>
  <c r="H39" i="12"/>
  <c r="N39" i="12"/>
  <c r="U39" i="12"/>
  <c r="AB39" i="12"/>
  <c r="F39" i="12"/>
  <c r="C39" i="12"/>
  <c r="L39" i="12"/>
  <c r="V39" i="12"/>
  <c r="C40" i="12"/>
  <c r="AC40" i="12" s="1"/>
  <c r="M39" i="12"/>
  <c r="D39" i="12"/>
  <c r="W39" i="12"/>
  <c r="AC44" i="12"/>
  <c r="AC55" i="12"/>
  <c r="AC43" i="12"/>
  <c r="AC57" i="12"/>
  <c r="AC60" i="12"/>
  <c r="AC48" i="12"/>
  <c r="AC53" i="12"/>
  <c r="AC47" i="12"/>
  <c r="AC41" i="12"/>
  <c r="AC56" i="12"/>
  <c r="R39" i="12"/>
  <c r="J39" i="12"/>
  <c r="I39" i="12"/>
  <c r="C37" i="12"/>
  <c r="AC37" i="12" s="1"/>
  <c r="B39" i="12"/>
  <c r="Q39" i="12"/>
  <c r="AA39" i="12"/>
  <c r="S39" i="12"/>
  <c r="AC59" i="12"/>
  <c r="T39" i="12"/>
  <c r="C36" i="12"/>
  <c r="AC36" i="12" s="1"/>
  <c r="AC52" i="12"/>
  <c r="AC49" i="12"/>
  <c r="AC45" i="12"/>
  <c r="AC54" i="12"/>
  <c r="AC50" i="12"/>
  <c r="AC51" i="12"/>
  <c r="AC62" i="12"/>
  <c r="AC61" i="12"/>
  <c r="F38" i="11"/>
  <c r="AC57" i="11"/>
  <c r="AC45" i="11"/>
  <c r="AC53" i="11"/>
  <c r="AC51" i="11"/>
  <c r="AC49" i="11"/>
  <c r="AC61" i="11"/>
  <c r="C39" i="11"/>
  <c r="AC39" i="11" s="1"/>
  <c r="AC55" i="11"/>
  <c r="AC41" i="11"/>
  <c r="D38" i="11"/>
  <c r="AC58" i="11"/>
  <c r="AA38" i="11"/>
  <c r="C40" i="11"/>
  <c r="AC40" i="11" s="1"/>
  <c r="Y38" i="11"/>
  <c r="AC44" i="11"/>
  <c r="X38" i="11"/>
  <c r="AC52" i="11"/>
  <c r="AC42" i="11"/>
  <c r="S38" i="11"/>
  <c r="Z38" i="11"/>
  <c r="AC43" i="11"/>
  <c r="Q38" i="11"/>
  <c r="AC60" i="11"/>
  <c r="P38" i="11"/>
  <c r="AC54" i="11"/>
  <c r="E38" i="11"/>
  <c r="K38" i="11"/>
  <c r="R38" i="11"/>
  <c r="AC59" i="11"/>
  <c r="I38" i="11"/>
  <c r="H38" i="11"/>
  <c r="W38" i="11"/>
  <c r="AC62" i="11"/>
  <c r="C38" i="11"/>
  <c r="J38" i="11"/>
  <c r="AC46" i="11"/>
  <c r="AC50" i="11"/>
  <c r="O38" i="11"/>
  <c r="U38" i="11"/>
  <c r="B38" i="11"/>
  <c r="V38" i="11"/>
  <c r="AC47" i="11"/>
  <c r="AC56" i="11"/>
  <c r="C37" i="11"/>
  <c r="AC37" i="11" s="1"/>
  <c r="C36" i="11"/>
  <c r="AC36" i="11" s="1"/>
  <c r="N38" i="11"/>
  <c r="AC48" i="11"/>
  <c r="B45" i="10"/>
  <c r="AC45" i="10" s="1"/>
  <c r="B46" i="10"/>
  <c r="AC46" i="10" s="1"/>
  <c r="G24" i="10"/>
  <c r="B39" i="10"/>
  <c r="B38" i="10"/>
  <c r="B40" i="10"/>
  <c r="B49" i="10"/>
  <c r="AC49" i="10" s="1"/>
  <c r="C22" i="10"/>
  <c r="B42" i="10"/>
  <c r="AC42" i="10" s="1"/>
  <c r="B51" i="10"/>
  <c r="AC51" i="10" s="1"/>
  <c r="B43" i="10"/>
  <c r="AC43" i="10" s="1"/>
  <c r="B37" i="10"/>
  <c r="B36" i="10"/>
  <c r="B44" i="10"/>
  <c r="AC44" i="10" s="1"/>
  <c r="C11" i="10"/>
  <c r="B14" i="9"/>
  <c r="C13" i="9"/>
  <c r="D16" i="9"/>
  <c r="C14" i="9"/>
  <c r="B16" i="9"/>
  <c r="D14" i="9"/>
  <c r="E16" i="9"/>
  <c r="E14" i="9"/>
  <c r="C16" i="9"/>
  <c r="B15" i="9"/>
  <c r="C15" i="9"/>
  <c r="D15" i="9"/>
  <c r="E15" i="9"/>
  <c r="AC38" i="13" l="1"/>
  <c r="AC39" i="13"/>
  <c r="AC39" i="12"/>
  <c r="AC38" i="11"/>
  <c r="B41" i="10"/>
  <c r="AC41" i="10" s="1"/>
  <c r="AC37" i="10"/>
  <c r="F13" i="9"/>
  <c r="L13" i="9"/>
  <c r="K13" i="9"/>
  <c r="M13" i="9"/>
  <c r="K15" i="9"/>
  <c r="L15" i="9"/>
  <c r="M15" i="9"/>
  <c r="J15" i="9"/>
  <c r="L14" i="9"/>
  <c r="K14" i="9"/>
  <c r="M14" i="9"/>
  <c r="F14" i="9"/>
  <c r="J14" i="9"/>
  <c r="J13" i="9"/>
  <c r="L16" i="9"/>
  <c r="M16" i="9"/>
  <c r="J16" i="9"/>
  <c r="K16" i="9"/>
  <c r="F16" i="9"/>
  <c r="F15" i="9"/>
  <c r="AC63" i="13" l="1"/>
  <c r="AD48" i="13" s="1"/>
  <c r="I15" i="14" s="1"/>
  <c r="AC63" i="12"/>
  <c r="AC63" i="11"/>
  <c r="AD38" i="11" s="1"/>
  <c r="E5" i="14" s="1"/>
  <c r="AC40" i="10"/>
  <c r="AC39" i="10"/>
  <c r="AC36" i="10"/>
  <c r="AC38" i="10"/>
  <c r="N15" i="9"/>
  <c r="N13" i="9"/>
  <c r="F17" i="9"/>
  <c r="G15" i="9" s="1"/>
  <c r="N16" i="9"/>
  <c r="N14" i="9"/>
  <c r="AD61" i="13" l="1"/>
  <c r="I28" i="14" s="1"/>
  <c r="AD41" i="13"/>
  <c r="I8" i="14" s="1"/>
  <c r="AD55" i="13"/>
  <c r="I22" i="14" s="1"/>
  <c r="AD44" i="13"/>
  <c r="I11" i="14" s="1"/>
  <c r="AD49" i="13"/>
  <c r="I16" i="14" s="1"/>
  <c r="AD51" i="13"/>
  <c r="I18" i="14" s="1"/>
  <c r="AD46" i="13"/>
  <c r="I13" i="14" s="1"/>
  <c r="AD36" i="13"/>
  <c r="I3" i="14" s="1"/>
  <c r="AD45" i="13"/>
  <c r="I12" i="14" s="1"/>
  <c r="AD57" i="13"/>
  <c r="I24" i="14" s="1"/>
  <c r="AD40" i="13"/>
  <c r="I7" i="14" s="1"/>
  <c r="AD52" i="13"/>
  <c r="I19" i="14" s="1"/>
  <c r="AD50" i="13"/>
  <c r="I17" i="14" s="1"/>
  <c r="AD56" i="13"/>
  <c r="I23" i="14" s="1"/>
  <c r="AD39" i="13"/>
  <c r="I6" i="14" s="1"/>
  <c r="AD54" i="13"/>
  <c r="I21" i="14" s="1"/>
  <c r="AD42" i="13"/>
  <c r="I9" i="14" s="1"/>
  <c r="AD43" i="13"/>
  <c r="I10" i="14" s="1"/>
  <c r="AD53" i="13"/>
  <c r="I20" i="14" s="1"/>
  <c r="AD37" i="13"/>
  <c r="I4" i="14" s="1"/>
  <c r="AD60" i="13"/>
  <c r="I27" i="14" s="1"/>
  <c r="H27" i="14" s="1"/>
  <c r="AD47" i="13"/>
  <c r="I14" i="14" s="1"/>
  <c r="AD38" i="13"/>
  <c r="I5" i="14" s="1"/>
  <c r="AD62" i="13"/>
  <c r="I29" i="14" s="1"/>
  <c r="H29" i="14" s="1"/>
  <c r="AD59" i="13"/>
  <c r="I26" i="14" s="1"/>
  <c r="AD58" i="13"/>
  <c r="I25" i="14" s="1"/>
  <c r="AD46" i="12"/>
  <c r="G13" i="14" s="1"/>
  <c r="AD58" i="12"/>
  <c r="G25" i="14" s="1"/>
  <c r="AD42" i="12"/>
  <c r="G9" i="14" s="1"/>
  <c r="AD45" i="12"/>
  <c r="G12" i="14" s="1"/>
  <c r="AD47" i="12"/>
  <c r="G14" i="14" s="1"/>
  <c r="AD48" i="12"/>
  <c r="G15" i="14" s="1"/>
  <c r="AD60" i="12"/>
  <c r="G27" i="14" s="1"/>
  <c r="AD41" i="12"/>
  <c r="G8" i="14" s="1"/>
  <c r="AD55" i="12"/>
  <c r="G22" i="14" s="1"/>
  <c r="AD40" i="12"/>
  <c r="G7" i="14" s="1"/>
  <c r="AD50" i="12"/>
  <c r="G17" i="14" s="1"/>
  <c r="AD36" i="12"/>
  <c r="G3" i="14" s="1"/>
  <c r="AD43" i="12"/>
  <c r="G10" i="14" s="1"/>
  <c r="AD44" i="12"/>
  <c r="G11" i="14" s="1"/>
  <c r="AD52" i="12"/>
  <c r="G19" i="14" s="1"/>
  <c r="AD37" i="12"/>
  <c r="G4" i="14" s="1"/>
  <c r="AD56" i="12"/>
  <c r="G23" i="14" s="1"/>
  <c r="AD38" i="12"/>
  <c r="G5" i="14" s="1"/>
  <c r="AD61" i="12"/>
  <c r="G28" i="14" s="1"/>
  <c r="F28" i="14" s="1"/>
  <c r="AD54" i="12"/>
  <c r="G21" i="14" s="1"/>
  <c r="AD59" i="12"/>
  <c r="G26" i="14" s="1"/>
  <c r="AD51" i="12"/>
  <c r="G18" i="14" s="1"/>
  <c r="AD53" i="12"/>
  <c r="G20" i="14" s="1"/>
  <c r="AD62" i="12"/>
  <c r="G29" i="14" s="1"/>
  <c r="F29" i="14" s="1"/>
  <c r="AD57" i="12"/>
  <c r="G24" i="14" s="1"/>
  <c r="AD49" i="12"/>
  <c r="G16" i="14" s="1"/>
  <c r="AD39" i="12"/>
  <c r="G6" i="14" s="1"/>
  <c r="AD60" i="11"/>
  <c r="E27" i="14" s="1"/>
  <c r="D27" i="14" s="1"/>
  <c r="AD49" i="11"/>
  <c r="E16" i="14" s="1"/>
  <c r="AD62" i="11"/>
  <c r="E29" i="14" s="1"/>
  <c r="D29" i="14" s="1"/>
  <c r="AD55" i="11"/>
  <c r="E22" i="14" s="1"/>
  <c r="AD56" i="11"/>
  <c r="E23" i="14" s="1"/>
  <c r="AD42" i="11"/>
  <c r="E9" i="14" s="1"/>
  <c r="AD51" i="11"/>
  <c r="E18" i="14" s="1"/>
  <c r="AD40" i="11"/>
  <c r="E7" i="14" s="1"/>
  <c r="AD47" i="11"/>
  <c r="E14" i="14" s="1"/>
  <c r="AD44" i="11"/>
  <c r="E11" i="14" s="1"/>
  <c r="AD59" i="11"/>
  <c r="E26" i="14" s="1"/>
  <c r="AD54" i="11"/>
  <c r="E21" i="14" s="1"/>
  <c r="AD57" i="11"/>
  <c r="E24" i="14" s="1"/>
  <c r="AD37" i="11"/>
  <c r="E4" i="14" s="1"/>
  <c r="AD50" i="11"/>
  <c r="E17" i="14" s="1"/>
  <c r="AD53" i="11"/>
  <c r="E20" i="14" s="1"/>
  <c r="AD48" i="11"/>
  <c r="E15" i="14" s="1"/>
  <c r="AD43" i="11"/>
  <c r="E10" i="14" s="1"/>
  <c r="AD45" i="11"/>
  <c r="E12" i="14" s="1"/>
  <c r="AD61" i="11"/>
  <c r="E28" i="14" s="1"/>
  <c r="D28" i="14" s="1"/>
  <c r="AD58" i="11"/>
  <c r="E25" i="14" s="1"/>
  <c r="AD39" i="11"/>
  <c r="E6" i="14" s="1"/>
  <c r="AD52" i="11"/>
  <c r="E19" i="14" s="1"/>
  <c r="AD46" i="11"/>
  <c r="E13" i="14" s="1"/>
  <c r="AD41" i="11"/>
  <c r="E8" i="14" s="1"/>
  <c r="AD36" i="11"/>
  <c r="E3" i="14" s="1"/>
  <c r="H28" i="14"/>
  <c r="F27" i="14"/>
  <c r="AC63" i="10"/>
  <c r="G14" i="9"/>
  <c r="G13" i="9"/>
  <c r="G16" i="9"/>
  <c r="N17" i="9"/>
  <c r="O16" i="9" s="1"/>
  <c r="AD63" i="13" l="1"/>
  <c r="AD63" i="12"/>
  <c r="AD63" i="11"/>
  <c r="AD48" i="10"/>
  <c r="AD56" i="10"/>
  <c r="AD62" i="10"/>
  <c r="C29" i="14" s="1"/>
  <c r="B29" i="14" s="1"/>
  <c r="J29" i="14" s="1"/>
  <c r="AD41" i="10"/>
  <c r="C8" i="14" s="1"/>
  <c r="AD49" i="10"/>
  <c r="C16" i="14" s="1"/>
  <c r="AD57" i="10"/>
  <c r="C24" i="14" s="1"/>
  <c r="AD42" i="10"/>
  <c r="C9" i="14" s="1"/>
  <c r="AD50" i="10"/>
  <c r="C17" i="14" s="1"/>
  <c r="AD61" i="10"/>
  <c r="AD43" i="10"/>
  <c r="AD51" i="10"/>
  <c r="C18" i="14" s="1"/>
  <c r="AD59" i="10"/>
  <c r="C26" i="14" s="1"/>
  <c r="AD45" i="10"/>
  <c r="C12" i="14" s="1"/>
  <c r="AD54" i="10"/>
  <c r="C21" i="14" s="1"/>
  <c r="AD44" i="10"/>
  <c r="C11" i="14" s="1"/>
  <c r="AD52" i="10"/>
  <c r="C19" i="14" s="1"/>
  <c r="AD60" i="10"/>
  <c r="C27" i="14" s="1"/>
  <c r="AD53" i="10"/>
  <c r="AD47" i="10"/>
  <c r="C14" i="14" s="1"/>
  <c r="AD55" i="10"/>
  <c r="C22" i="14" s="1"/>
  <c r="AD46" i="10"/>
  <c r="C13" i="14" s="1"/>
  <c r="AD58" i="10"/>
  <c r="C25" i="14" s="1"/>
  <c r="C28" i="14"/>
  <c r="B28" i="14" s="1"/>
  <c r="J28" i="14" s="1"/>
  <c r="C23" i="14"/>
  <c r="C10" i="14"/>
  <c r="C20" i="14"/>
  <c r="C15" i="14"/>
  <c r="H3" i="14"/>
  <c r="AD38" i="10"/>
  <c r="C5" i="14" s="1"/>
  <c r="AD37" i="10"/>
  <c r="C4" i="14" s="1"/>
  <c r="AD39" i="10"/>
  <c r="C6" i="14" s="1"/>
  <c r="AD36" i="10"/>
  <c r="AD40" i="10"/>
  <c r="C7" i="14" s="1"/>
  <c r="H17" i="14"/>
  <c r="H26" i="14"/>
  <c r="H9" i="14"/>
  <c r="H18" i="14"/>
  <c r="H10" i="14"/>
  <c r="H20" i="14"/>
  <c r="H12" i="14"/>
  <c r="H21" i="14"/>
  <c r="H14" i="14"/>
  <c r="H15" i="14"/>
  <c r="H13" i="14"/>
  <c r="H22" i="14"/>
  <c r="H24" i="14"/>
  <c r="H16" i="14"/>
  <c r="H25" i="14"/>
  <c r="H23" i="14"/>
  <c r="H19" i="14"/>
  <c r="H11" i="14"/>
  <c r="H4" i="14"/>
  <c r="H5" i="14"/>
  <c r="H6" i="14"/>
  <c r="H7" i="14"/>
  <c r="H8" i="14"/>
  <c r="G17" i="9"/>
  <c r="O15" i="9"/>
  <c r="O13" i="9"/>
  <c r="O14" i="9"/>
  <c r="D3" i="14" s="1"/>
  <c r="C3" i="14" l="1"/>
  <c r="B3" i="14" s="1"/>
  <c r="AD63" i="10"/>
  <c r="B27" i="14"/>
  <c r="J27" i="14" s="1"/>
  <c r="D13" i="14"/>
  <c r="D9" i="14"/>
  <c r="D10" i="14"/>
  <c r="D24" i="14"/>
  <c r="D18" i="14"/>
  <c r="D16" i="14"/>
  <c r="D25" i="14"/>
  <c r="D17" i="14"/>
  <c r="D26" i="14"/>
  <c r="D12" i="14"/>
  <c r="D21" i="14"/>
  <c r="D20" i="14"/>
  <c r="D22" i="14"/>
  <c r="D19" i="14"/>
  <c r="D23" i="14"/>
  <c r="D14" i="14"/>
  <c r="D11" i="14"/>
  <c r="D15" i="14"/>
  <c r="F15" i="14"/>
  <c r="F24" i="14"/>
  <c r="F16" i="14"/>
  <c r="F12" i="14"/>
  <c r="F22" i="14"/>
  <c r="F20" i="14"/>
  <c r="F21" i="14"/>
  <c r="F13" i="14"/>
  <c r="F14" i="14"/>
  <c r="F23" i="14"/>
  <c r="F26" i="14"/>
  <c r="F19" i="14"/>
  <c r="F18" i="14"/>
  <c r="F11" i="14"/>
  <c r="F10" i="14"/>
  <c r="F17" i="14"/>
  <c r="F9" i="14"/>
  <c r="F25" i="14"/>
  <c r="D6" i="14"/>
  <c r="D7" i="14"/>
  <c r="D5" i="14"/>
  <c r="D4" i="14"/>
  <c r="D8" i="14"/>
  <c r="B6" i="14"/>
  <c r="B22" i="14"/>
  <c r="B7" i="14"/>
  <c r="B13" i="14"/>
  <c r="B26" i="14"/>
  <c r="B11" i="14"/>
  <c r="B4" i="14"/>
  <c r="B9" i="14"/>
  <c r="B5" i="14"/>
  <c r="B24" i="14"/>
  <c r="B14" i="14"/>
  <c r="B16" i="14"/>
  <c r="B8" i="14"/>
  <c r="B10" i="14"/>
  <c r="B15" i="14"/>
  <c r="B25" i="14"/>
  <c r="B19" i="14"/>
  <c r="B18" i="14"/>
  <c r="B17" i="14"/>
  <c r="B23" i="14"/>
  <c r="B21" i="14"/>
  <c r="B12" i="14"/>
  <c r="B20" i="14"/>
  <c r="F3" i="14"/>
  <c r="F7" i="14"/>
  <c r="F6" i="14"/>
  <c r="F8" i="14"/>
  <c r="F5" i="14"/>
  <c r="F4" i="14"/>
  <c r="O17" i="9"/>
  <c r="I27" i="4"/>
  <c r="I6" i="4"/>
  <c r="I7" i="4"/>
  <c r="I8" i="4"/>
  <c r="I9" i="4"/>
  <c r="I10" i="4"/>
  <c r="I11" i="4"/>
  <c r="I12" i="4"/>
  <c r="I13" i="4"/>
  <c r="I15" i="4"/>
  <c r="I16" i="4"/>
  <c r="I17" i="4"/>
  <c r="I18" i="4"/>
  <c r="I19" i="4"/>
  <c r="I20" i="4"/>
  <c r="I21" i="4"/>
  <c r="I22" i="4"/>
  <c r="I23" i="4"/>
  <c r="I24" i="4"/>
  <c r="I25" i="4"/>
  <c r="I26" i="4"/>
  <c r="I28" i="4"/>
  <c r="I29" i="4"/>
  <c r="I30" i="4"/>
  <c r="I32" i="4"/>
  <c r="I33" i="4"/>
  <c r="I34" i="4"/>
  <c r="J23" i="14" l="1"/>
  <c r="J14" i="14"/>
  <c r="J17" i="14"/>
  <c r="J16" i="14"/>
  <c r="J13" i="14"/>
  <c r="J7" i="14"/>
  <c r="J19" i="14"/>
  <c r="J20" i="14"/>
  <c r="J21" i="14"/>
  <c r="J5" i="14"/>
  <c r="J9" i="14"/>
  <c r="J25" i="14"/>
  <c r="J15" i="14"/>
  <c r="J12" i="14"/>
  <c r="J10" i="14"/>
  <c r="J8" i="14"/>
  <c r="J26" i="14"/>
  <c r="J18" i="14"/>
  <c r="J24" i="14"/>
  <c r="J22" i="14"/>
  <c r="J6" i="14"/>
  <c r="J11" i="14"/>
  <c r="J4" i="14"/>
  <c r="J3" i="14"/>
  <c r="B6" i="6" a="1"/>
  <c r="B6" i="6" s="1"/>
  <c r="A6" i="12" l="1" a="1"/>
  <c r="A6" i="12" s="1"/>
  <c r="A36" i="13" a="1"/>
  <c r="A36" i="13" s="1"/>
  <c r="A36" i="12" a="1"/>
  <c r="A36" i="12" s="1"/>
  <c r="A6" i="11" a="1"/>
  <c r="A6" i="11" s="1"/>
  <c r="A36" i="11" a="1"/>
  <c r="A36" i="11" s="1"/>
  <c r="A6" i="13" a="1"/>
  <c r="A6" i="13" s="1"/>
  <c r="K10" i="14"/>
  <c r="K15" i="14"/>
  <c r="K12" i="14"/>
  <c r="K24" i="14"/>
  <c r="K3" i="14"/>
  <c r="K28" i="14"/>
  <c r="K29" i="14"/>
  <c r="K27" i="14"/>
  <c r="K6" i="14"/>
  <c r="K18" i="14"/>
  <c r="K14" i="14"/>
  <c r="K26" i="14"/>
  <c r="K19" i="14"/>
  <c r="K9" i="14"/>
  <c r="K25" i="14"/>
  <c r="K21" i="14"/>
  <c r="K20" i="14"/>
  <c r="K17" i="14"/>
  <c r="K11" i="14"/>
  <c r="K5" i="14"/>
  <c r="K13" i="14"/>
  <c r="K8" i="14"/>
  <c r="K7" i="14"/>
  <c r="K16" i="14"/>
  <c r="K4" i="14"/>
  <c r="K22" i="14"/>
  <c r="K23" i="14"/>
  <c r="A36" i="10" a="1"/>
  <c r="A36" i="10" s="1"/>
  <c r="A6" i="10" a="1"/>
  <c r="A6" i="10" s="1"/>
  <c r="A3" i="14" a="1"/>
  <c r="A3" i="14" s="1"/>
  <c r="B5" i="13" l="1" a="1"/>
  <c r="B5" i="13" s="1"/>
  <c r="B35" i="13" a="1"/>
  <c r="B35" i="13" s="1"/>
  <c r="B35" i="11" a="1"/>
  <c r="B35" i="11" s="1"/>
  <c r="B5" i="11" a="1"/>
  <c r="B5" i="11" s="1"/>
  <c r="B35" i="12" a="1"/>
  <c r="B35" i="12" s="1"/>
  <c r="B5" i="12" a="1"/>
  <c r="B5" i="12" s="1"/>
  <c r="B35" i="10" a="1"/>
  <c r="B35" i="10" s="1"/>
  <c r="B5" i="10" a="1"/>
  <c r="B5" i="1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<sst xmlns="http://schemas.openxmlformats.org/spreadsheetml/2006/main" count="161" uniqueCount="109">
  <si>
    <t>Definition</t>
  </si>
  <si>
    <t>User-Centric Dimension</t>
  </si>
  <si>
    <t>NO.</t>
  </si>
  <si>
    <t>Element</t>
  </si>
  <si>
    <t xml:space="preserve">Mobile UX Aspects Taxonomy </t>
  </si>
  <si>
    <t>App-Centric Dimension</t>
  </si>
  <si>
    <t>Context Dimension</t>
  </si>
  <si>
    <t>Usability</t>
  </si>
  <si>
    <t>Emotional</t>
  </si>
  <si>
    <t>Engagement</t>
  </si>
  <si>
    <t>Stimulation</t>
  </si>
  <si>
    <t>Effort</t>
  </si>
  <si>
    <t>Valuable</t>
  </si>
  <si>
    <t>Functionality</t>
  </si>
  <si>
    <t>Aesthetic Design</t>
  </si>
  <si>
    <t>Safety</t>
  </si>
  <si>
    <t>Novelty</t>
  </si>
  <si>
    <t>Dependability</t>
  </si>
  <si>
    <t>Independability</t>
  </si>
  <si>
    <t>Updateness</t>
  </si>
  <si>
    <t>Accessibility</t>
  </si>
  <si>
    <t>Trustworthiness</t>
  </si>
  <si>
    <t>Information Quality</t>
  </si>
  <si>
    <t>Affordances</t>
  </si>
  <si>
    <t>User Support</t>
  </si>
  <si>
    <t>User Inclusivity</t>
  </si>
  <si>
    <t>The extent to which specified users can use a product to achieve specified goals with effectiveness, efficiency, satisfaction, understandability, learnability, operability, etc, in a specified context of use.</t>
  </si>
  <si>
    <t>The full spectrum of desirable feelings users experiences while interacting with a product or service. These emotions are influenced by the context and goals of the interaction, contributing to a pleasurable and engaging product experience.</t>
  </si>
  <si>
    <t>External Subjective Factors</t>
  </si>
  <si>
    <t>Refer to user-related, external factors that indirectly influence the user experience (UX) by shaping a user's perception, attitudes, and sensations toward a product or service. Unlike internal subjective factors (emotions, motivations), these factors arise from the user's experiences and beliefs.</t>
  </si>
  <si>
    <t>The level of involvement, interest, and enthusiasm a user has with a product or service involves capturing attention, encouraging participation, and fostering a meaningful connection.</t>
  </si>
  <si>
    <t>Refers to interactive features and elements within an app that captivate users by piquing their curiosity, generating interest, and fostering enjoyment. Unlike engagement, it aims to provoke immediate exploration through novel functionalities, creative activities, or problem-solving opportunities. It encourages users to actively interact with the app, discover new aspects, and potentially gain new insights or experiences.</t>
  </si>
  <si>
    <t>Refers to the cognitive and physical exertion users require to interact with a mobile application. Minimizing effort by providing intuitive interfaces, streamlined processes, and clear feedback enhances the overall user experience, satisfaction, and retention.</t>
  </si>
  <si>
    <t>Desirability</t>
  </si>
  <si>
    <t>The ability of a product or service, through its visual appeal, emotional resonance, and alignment with user preferences, to evoke a strong desire or attraction among its target audience.</t>
  </si>
  <si>
    <t>Ensuring the app provides significant value to users by addressing their needs, solving their problems, or enhancing their lives. This aspect goes beyond mere functionality, encompassing all elements of UX design to deliver holistic user value. It focuses on the overall benefits and improvements the app brings to users, encouraging their appreciation and satisfaction with the product.</t>
  </si>
  <si>
    <t>An app's features and capabilities ensure the product is fully operational and aligns with user objectives.</t>
  </si>
  <si>
    <t>The visual harmony, appeal, and inherent beauty of the product colors, texts, grapgics, layout, audio, etc.</t>
  </si>
  <si>
    <t>The extent to which the app mitigates the risk of harm to individuals or other resources, including hardware and stored information, within a defined use context.</t>
  </si>
  <si>
    <t>External Application Assistants</t>
  </si>
  <si>
    <t>Refer to tools or technical checkers external to the app itself that aid users in verifying compatibility with their devices (such as mobile phones and tablets) and operating systems (like Android and iOS). They also assist in troubleshooting technical issues related to requirements such as internet speed.</t>
  </si>
  <si>
    <t>Novelty entails introducing new and original elements or features compared to existing ones. It reflects the product's level of innovation and creativity, influencing its ability to attract user interest and engagement.</t>
  </si>
  <si>
    <t>A user's trust in the app's ability to perform consistently, predictably, and securely, meeting their expectations for control and safety during interaction.</t>
  </si>
  <si>
    <t>External Constraints</t>
  </si>
  <si>
    <t>External constraints represent limitations that exist outside the product or service itself and can indirectly impact the user experience (UX). These constraints are often technical in nature and encompass factors that the product must accommodate to ensure optimal performance and usability.</t>
  </si>
  <si>
    <t>The degree to which a mobile app allows users to achieve their goals and complete tasks within the app itself, with minimal reliance on external factors or assistance.</t>
  </si>
  <si>
    <t>It refers to the frequency and timeliness of updates released for a mobile app. It includes the regularity of bug fixes, feature enhancements, security patches, and compatibility updates.</t>
  </si>
  <si>
    <t>Accessibility refers to the design of mobile apps such that they can be easily used and understood by people of all abilities.</t>
  </si>
  <si>
    <t>Trustworthiness in mobile UX reflects the user's confidence in an app's reliability, security, and the organization behind it.</t>
  </si>
  <si>
    <t>Refers to the accuracy, meaningfulness, and comprehensiveness/Completeness of the information presented within the app or service.</t>
  </si>
  <si>
    <t>Affordances refers to the intuitive indications in an interface that guide users towards possible actions that align with the app's purpose. These cues may be visual, tactile, or auditory, and they help users understand how to interact with interface elements to achieve their objectives. Affordances are tailored to the app's domain and can include various attributes. For instance, gaming apps leverage affordances for collaboration (invite buttons), immersion (high-quality graphics), and challenge (progress bars). Similarly, shopping apps utilize affordances for luxuriousness (product photos), advertising, and delicacy (drag-and-drop features). In different domains of apps, affordances adapt to various attributes, such as the cost attribute in learning apps or the timeliness attribute in critical apps.</t>
  </si>
  <si>
    <t>User Support involves making assistance accessible across various channels (live chat, phone, email, etc.), ensuring users can receive help anytime and anywhere, thereby enhancing the overall user experience.</t>
  </si>
  <si>
    <t>Emerging Technologies</t>
  </si>
  <si>
    <t>Refer to the integration and utilization of advanced and innovative technologies such as Voice Interaction, Augmented Reality (AR), and Virtual Reality (VR) to enhance user experiences, significantly impact how users interact with the app and perceive its functionality, and provide immersive, interactive, and intuitive mobile applications.</t>
  </si>
  <si>
    <t>Automation &amp; AI</t>
  </si>
  <si>
    <t>Refer to leveraging machine learning, artificial intelligence, and automated processes to enhance UX, streamline interactions, and provide efficient and intelligent application features, for instance, automating tasks, predictive analytics, and smart notifications, and offering intelligent assistance to users through intelligent search, chatbots, and recommendation systems.</t>
  </si>
  <si>
    <t>User Inclusivity is the philosophy of designing experiences that cater to a diverse range of users. It delves into understanding users' unique characteristics, preferences, and backgrounds, guiding the creation of tailored app experiences that resonate with each individual. This encompasses demographics, knowledge, needs, cultural background, and personal values.</t>
  </si>
  <si>
    <t>Quality Of Interaction</t>
  </si>
  <si>
    <t>The quality of interaction in a mobile app's UX refers to how smoothly and effectively users can communicate with and achieve their goals within the app.</t>
  </si>
  <si>
    <t>Context Of Use</t>
  </si>
  <si>
    <t>Refers to the comprehensive understanding and consideration of the circumstances, environment, and user conditions in which individuals interact with mobile devices and applications.</t>
  </si>
  <si>
    <t xml:space="preserve">MoSCoW Method  </t>
  </si>
  <si>
    <t>User profiles</t>
  </si>
  <si>
    <t>App domain specificity</t>
  </si>
  <si>
    <t>Task Complexity</t>
  </si>
  <si>
    <t>Feasibility</t>
  </si>
  <si>
    <t>Decision</t>
  </si>
  <si>
    <t>Final aspects</t>
  </si>
  <si>
    <t xml:space="preserve">Goal: </t>
  </si>
  <si>
    <t>Row total</t>
  </si>
  <si>
    <t>Weight</t>
  </si>
  <si>
    <t>Sum:</t>
  </si>
  <si>
    <t>Score</t>
  </si>
  <si>
    <r>
      <t>W</t>
    </r>
    <r>
      <rPr>
        <vertAlign val="subscript"/>
        <sz val="11"/>
        <color theme="1"/>
        <rFont val="Arial"/>
        <family val="2"/>
        <scheme val="minor"/>
      </rPr>
      <t>UserProfiles</t>
    </r>
  </si>
  <si>
    <r>
      <t>S</t>
    </r>
    <r>
      <rPr>
        <vertAlign val="subscript"/>
        <sz val="11"/>
        <color theme="1"/>
        <rFont val="Arial"/>
        <family val="2"/>
        <scheme val="minor"/>
      </rPr>
      <t>UserProfile</t>
    </r>
  </si>
  <si>
    <r>
      <t>W</t>
    </r>
    <r>
      <rPr>
        <vertAlign val="subscript"/>
        <sz val="11"/>
        <color theme="1"/>
        <rFont val="Arial"/>
        <family val="2"/>
        <scheme val="minor"/>
      </rPr>
      <t>AppDomain</t>
    </r>
  </si>
  <si>
    <r>
      <t>S</t>
    </r>
    <r>
      <rPr>
        <vertAlign val="subscript"/>
        <sz val="11"/>
        <color theme="1"/>
        <rFont val="Arial"/>
        <family val="2"/>
        <scheme val="minor"/>
      </rPr>
      <t>AppDomain</t>
    </r>
  </si>
  <si>
    <r>
      <t>W</t>
    </r>
    <r>
      <rPr>
        <vertAlign val="subscript"/>
        <sz val="11"/>
        <color theme="1"/>
        <rFont val="Arial"/>
        <family val="2"/>
        <scheme val="minor"/>
      </rPr>
      <t>Task</t>
    </r>
  </si>
  <si>
    <r>
      <t>S</t>
    </r>
    <r>
      <rPr>
        <vertAlign val="subscript"/>
        <sz val="11"/>
        <color theme="1"/>
        <rFont val="Arial"/>
        <family val="2"/>
        <scheme val="minor"/>
      </rPr>
      <t>Task</t>
    </r>
  </si>
  <si>
    <r>
      <t>W</t>
    </r>
    <r>
      <rPr>
        <vertAlign val="subscript"/>
        <sz val="11"/>
        <color theme="1"/>
        <rFont val="Arial"/>
        <family val="2"/>
        <scheme val="minor"/>
      </rPr>
      <t>Feasibility</t>
    </r>
  </si>
  <si>
    <r>
      <t>S</t>
    </r>
    <r>
      <rPr>
        <vertAlign val="subscript"/>
        <sz val="11"/>
        <color theme="1"/>
        <rFont val="Arial"/>
        <family val="2"/>
        <scheme val="minor"/>
      </rPr>
      <t>Feasibility</t>
    </r>
  </si>
  <si>
    <t>Total score</t>
  </si>
  <si>
    <t>Rank</t>
  </si>
  <si>
    <t>Criteria:</t>
  </si>
  <si>
    <t>Alternatives (UX Aspects):</t>
  </si>
  <si>
    <t/>
  </si>
  <si>
    <t>Rank the prioritized UX aspect(alternatives).</t>
  </si>
  <si>
    <r>
      <t xml:space="preserve"> For more info, please visit: </t>
    </r>
    <r>
      <rPr>
        <sz val="11"/>
        <rFont val="Arial"/>
        <family val="2"/>
        <scheme val="minor"/>
      </rPr>
      <t xml:space="preserve">https://www.1000minds.com/decision-making/analytic-hierarchy-process-ahp </t>
    </r>
  </si>
  <si>
    <r>
      <rPr>
        <b/>
        <u/>
        <sz val="9"/>
        <color rgb="FFFF0000"/>
        <rFont val="Arial"/>
        <family val="2"/>
        <scheme val="minor"/>
      </rPr>
      <t>Scale:</t>
    </r>
    <r>
      <rPr>
        <sz val="9"/>
        <color theme="1"/>
        <rFont val="Arial"/>
        <family val="2"/>
        <scheme val="minor"/>
      </rPr>
      <t xml:space="preserve">
1: Equally important
2: Equally to moderately more important
3: Moderately more important
4: Moderately to strongly more important
5: Strongly more important
6: Strongly to very strongly more important
7: Very strongly more important
8: Very strongly to extremely more important
9: Extremely more important</t>
    </r>
  </si>
  <si>
    <t>Calculate criterion weights</t>
  </si>
  <si>
    <r>
      <rPr>
        <b/>
        <u/>
        <sz val="14"/>
        <color rgb="FFFF0000"/>
        <rFont val="Times New Roman"/>
        <family val="1"/>
        <scheme val="major"/>
      </rPr>
      <t>Scale:</t>
    </r>
    <r>
      <rPr>
        <sz val="10"/>
        <color theme="1"/>
        <rFont val="Times New Roman"/>
        <family val="1"/>
        <scheme val="major"/>
      </rPr>
      <t xml:space="preserve">
1: Equally important
2: Equally to moderately more important
3: Moderately more important
4: Moderately to strongly more important
5: Strongly more important
6: Strongly to very strongly more important
7: Very strongly more important
8: Very strongly to extremely more important
9: Extremely more important</t>
    </r>
  </si>
  <si>
    <t>Calculate alternatives weights</t>
  </si>
  <si>
    <t>User profiles(alternatives pairwise comparison matrix)</t>
  </si>
  <si>
    <t>App domain specificity(alternatives pairwise comparison matrix)</t>
  </si>
  <si>
    <t>Combining weights and scores to rank alternatives</t>
  </si>
  <si>
    <r>
      <rPr>
        <b/>
        <u/>
        <sz val="9"/>
        <color rgb="FFFF0000"/>
        <rFont val="Arial"/>
        <family val="2"/>
        <scheme val="minor"/>
      </rPr>
      <t>Evaluate alternatives:</t>
    </r>
    <r>
      <rPr>
        <b/>
        <sz val="9"/>
        <color rgb="FFFF0000"/>
        <rFont val="Arial"/>
        <family val="2"/>
        <scheme val="minor"/>
      </rPr>
      <t xml:space="preserve"> </t>
    </r>
    <r>
      <rPr>
        <sz val="9"/>
        <color theme="1"/>
        <rFont val="Arial"/>
        <family val="2"/>
        <scheme val="minor"/>
      </rPr>
      <t>Use the same nine-point scale provided beside to compare the relative importance of each alternative (prioritized aspect) in the row to each alternative in the column (</t>
    </r>
    <r>
      <rPr>
        <b/>
        <sz val="12"/>
        <color rgb="FFFF9933"/>
        <rFont val="Arial"/>
        <family val="2"/>
        <scheme val="minor"/>
      </rPr>
      <t>orange cells</t>
    </r>
    <r>
      <rPr>
        <sz val="9"/>
        <color theme="1"/>
        <rFont val="Arial"/>
        <family val="2"/>
        <scheme val="minor"/>
      </rPr>
      <t>) concerning the "</t>
    </r>
    <r>
      <rPr>
        <b/>
        <sz val="9"/>
        <color theme="1"/>
        <rFont val="Arial"/>
        <family val="2"/>
        <scheme val="minor"/>
      </rPr>
      <t>User profiles</t>
    </r>
    <r>
      <rPr>
        <sz val="9"/>
        <color theme="1"/>
        <rFont val="Arial"/>
        <family val="2"/>
        <scheme val="minor"/>
      </rPr>
      <t xml:space="preserve">" criterion. </t>
    </r>
    <r>
      <rPr>
        <b/>
        <sz val="11"/>
        <color theme="1"/>
        <rFont val="Arial"/>
        <family val="2"/>
        <scheme val="minor"/>
      </rPr>
      <t xml:space="preserve">Please only input a number in the cells with the column header if the header (-) keeps </t>
    </r>
    <r>
      <rPr>
        <b/>
        <sz val="11"/>
        <color rgb="FFFF0000"/>
        <rFont val="Arial"/>
        <family val="2"/>
        <scheme val="minor"/>
      </rPr>
      <t>empty</t>
    </r>
    <r>
      <rPr>
        <b/>
        <sz val="11"/>
        <color theme="1"/>
        <rFont val="Arial"/>
        <family val="2"/>
        <scheme val="minor"/>
      </rPr>
      <t>.</t>
    </r>
    <r>
      <rPr>
        <sz val="9"/>
        <color theme="1"/>
        <rFont val="Arial"/>
        <family val="2"/>
        <scheme val="minor"/>
      </rPr>
      <t xml:space="preserve">
</t>
    </r>
    <r>
      <rPr>
        <b/>
        <u/>
        <sz val="9"/>
        <color rgb="FFFF0000"/>
        <rFont val="Arial"/>
        <family val="2"/>
        <scheme val="minor"/>
      </rPr>
      <t>Example Comparison:</t>
    </r>
    <r>
      <rPr>
        <sz val="9"/>
        <color theme="1"/>
        <rFont val="Arial"/>
        <family val="2"/>
        <scheme val="minor"/>
      </rPr>
      <t xml:space="preserve">
</t>
    </r>
    <r>
      <rPr>
        <b/>
        <sz val="9"/>
        <color theme="1"/>
        <rFont val="Arial"/>
        <family val="2"/>
        <scheme val="minor"/>
      </rPr>
      <t>Ask yourself,</t>
    </r>
    <r>
      <rPr>
        <sz val="9"/>
        <color theme="1"/>
        <rFont val="Arial"/>
        <family val="2"/>
        <scheme val="minor"/>
      </rPr>
      <t xml:space="preserve"> "With respect to the criterion "</t>
    </r>
    <r>
      <rPr>
        <b/>
        <sz val="9"/>
        <color theme="1"/>
        <rFont val="Arial"/>
        <family val="2"/>
        <scheme val="minor"/>
      </rPr>
      <t>User profiles</t>
    </r>
    <r>
      <rPr>
        <sz val="9"/>
        <color theme="1"/>
        <rFont val="Arial"/>
        <family val="2"/>
        <scheme val="minor"/>
      </rPr>
      <t>," how much more do you prefer alternative (i.e., X "in the row" to alternative Y" in the column"? And assign a number from the scale.
Continue by comparing each alternative (in the row) to all alternatives (in the columns) one by one concerning the "</t>
    </r>
    <r>
      <rPr>
        <b/>
        <sz val="9"/>
        <color theme="1"/>
        <rFont val="Arial"/>
        <family val="2"/>
        <scheme val="minor"/>
      </rPr>
      <t>User profile</t>
    </r>
    <r>
      <rPr>
        <sz val="9"/>
        <color theme="1"/>
        <rFont val="Arial"/>
        <family val="2"/>
        <scheme val="minor"/>
      </rPr>
      <t xml:space="preserve">" criterion until all alternatives in the rows have been pairwise compared to the ones in the columns.
</t>
    </r>
    <r>
      <rPr>
        <b/>
        <u/>
        <sz val="9"/>
        <color rgb="FFFF0000"/>
        <rFont val="Arial"/>
        <family val="2"/>
        <scheme val="minor"/>
      </rPr>
      <t xml:space="preserve">Please Note (Less Important alternative):
</t>
    </r>
    <r>
      <rPr>
        <sz val="9"/>
        <color theme="1"/>
        <rFont val="Arial"/>
        <family val="2"/>
        <scheme val="minor"/>
      </rPr>
      <t xml:space="preserve">If you believe an alternative in the row is less important than one in the column, use the reciprocals of the nine-point scale, where 1 ("equally unimportant") to 1/9 ("extreme unimportance").
For example, if alternative X (in the row) is less important than alternative Y (in the column), you might assign a value like </t>
    </r>
    <r>
      <rPr>
        <b/>
        <sz val="11"/>
        <color theme="1"/>
        <rFont val="Arial"/>
        <family val="2"/>
        <scheme val="minor"/>
      </rPr>
      <t>=1/3.</t>
    </r>
  </si>
  <si>
    <r>
      <rPr>
        <b/>
        <u/>
        <sz val="9"/>
        <color rgb="FFFF0000"/>
        <rFont val="Arial"/>
        <family val="2"/>
        <scheme val="minor"/>
      </rPr>
      <t>Evaluate alternatives:</t>
    </r>
    <r>
      <rPr>
        <b/>
        <sz val="9"/>
        <color rgb="FFFF0000"/>
        <rFont val="Arial"/>
        <family val="2"/>
        <scheme val="minor"/>
      </rPr>
      <t xml:space="preserve"> </t>
    </r>
    <r>
      <rPr>
        <sz val="9"/>
        <color theme="1"/>
        <rFont val="Arial"/>
        <family val="2"/>
        <scheme val="minor"/>
      </rPr>
      <t>Use the same nine-point scale provided beside to compare the relative importance of each alternative (prioritized aspect) in the row to each alternative in the column (</t>
    </r>
    <r>
      <rPr>
        <b/>
        <sz val="12"/>
        <color rgb="FFFF9933"/>
        <rFont val="Arial"/>
        <family val="2"/>
        <scheme val="minor"/>
      </rPr>
      <t>orange cells</t>
    </r>
    <r>
      <rPr>
        <sz val="9"/>
        <color theme="1"/>
        <rFont val="Arial"/>
        <family val="2"/>
        <scheme val="minor"/>
      </rPr>
      <t>) concerning the "</t>
    </r>
    <r>
      <rPr>
        <b/>
        <sz val="9"/>
        <color theme="1"/>
        <rFont val="Arial"/>
        <family val="2"/>
        <scheme val="minor"/>
      </rPr>
      <t>Task Complexity</t>
    </r>
    <r>
      <rPr>
        <sz val="9"/>
        <color theme="1"/>
        <rFont val="Arial"/>
        <family val="2"/>
        <scheme val="minor"/>
      </rPr>
      <t xml:space="preserve">" criterion. </t>
    </r>
    <r>
      <rPr>
        <b/>
        <sz val="11"/>
        <color theme="1"/>
        <rFont val="Arial"/>
        <family val="2"/>
        <scheme val="minor"/>
      </rPr>
      <t xml:space="preserve">Please only input a number in the cells with the column header if the header (-) keeps </t>
    </r>
    <r>
      <rPr>
        <b/>
        <sz val="11"/>
        <color rgb="FFFF0000"/>
        <rFont val="Arial"/>
        <family val="2"/>
        <scheme val="minor"/>
      </rPr>
      <t>empty</t>
    </r>
    <r>
      <rPr>
        <b/>
        <sz val="11"/>
        <color theme="1"/>
        <rFont val="Arial"/>
        <family val="2"/>
        <scheme val="minor"/>
      </rPr>
      <t>.</t>
    </r>
    <r>
      <rPr>
        <sz val="9"/>
        <color theme="1"/>
        <rFont val="Arial"/>
        <family val="2"/>
        <scheme val="minor"/>
      </rPr>
      <t xml:space="preserve">
</t>
    </r>
    <r>
      <rPr>
        <b/>
        <u/>
        <sz val="9"/>
        <color rgb="FFFF0000"/>
        <rFont val="Arial"/>
        <family val="2"/>
        <scheme val="minor"/>
      </rPr>
      <t>Example Comparison:</t>
    </r>
    <r>
      <rPr>
        <sz val="9"/>
        <color theme="1"/>
        <rFont val="Arial"/>
        <family val="2"/>
        <scheme val="minor"/>
      </rPr>
      <t xml:space="preserve">
</t>
    </r>
    <r>
      <rPr>
        <b/>
        <sz val="9"/>
        <color theme="1"/>
        <rFont val="Arial"/>
        <family val="2"/>
        <scheme val="minor"/>
      </rPr>
      <t>Ask yourself,</t>
    </r>
    <r>
      <rPr>
        <sz val="9"/>
        <color theme="1"/>
        <rFont val="Arial"/>
        <family val="2"/>
        <scheme val="minor"/>
      </rPr>
      <t xml:space="preserve"> "With respect to the criterion "</t>
    </r>
    <r>
      <rPr>
        <b/>
        <sz val="9"/>
        <color theme="1"/>
        <rFont val="Arial"/>
        <family val="2"/>
        <scheme val="minor"/>
      </rPr>
      <t>Task Complexity</t>
    </r>
    <r>
      <rPr>
        <sz val="9"/>
        <color theme="1"/>
        <rFont val="Arial"/>
        <family val="2"/>
        <scheme val="minor"/>
      </rPr>
      <t>," how much more do you prefer alternative (i.e., X "in the row" to alternative Y" in the column"? And assign a number from the scale.
Continue by comparing each alternative (in the row) to all alternatives (in the columns) one by one concerning the "</t>
    </r>
    <r>
      <rPr>
        <b/>
        <sz val="9"/>
        <color theme="1"/>
        <rFont val="Arial"/>
        <family val="2"/>
        <scheme val="minor"/>
      </rPr>
      <t>Task Complexity</t>
    </r>
    <r>
      <rPr>
        <sz val="9"/>
        <color theme="1"/>
        <rFont val="Arial"/>
        <family val="2"/>
        <scheme val="minor"/>
      </rPr>
      <t xml:space="preserve">" criterion until all alternatives in the rows have been pairwise compared to the ones in the columns.
</t>
    </r>
    <r>
      <rPr>
        <b/>
        <u/>
        <sz val="9"/>
        <color rgb="FFFF0000"/>
        <rFont val="Arial"/>
        <family val="2"/>
        <scheme val="minor"/>
      </rPr>
      <t xml:space="preserve">Please Note (Less Important alternative):
</t>
    </r>
    <r>
      <rPr>
        <sz val="9"/>
        <color theme="1"/>
        <rFont val="Arial"/>
        <family val="2"/>
        <scheme val="minor"/>
      </rPr>
      <t xml:space="preserve">If you believe an alternative in the row is less important than one in the column, use the reciprocals of the nine-point scale, where 1 ("equally unimportant") to 1/9 ("extreme unimportance").
For example, if alternative X (in the row) is less important than alternative Y (in the column), you might assign a value like </t>
    </r>
    <r>
      <rPr>
        <b/>
        <sz val="11"/>
        <color theme="1"/>
        <rFont val="Arial"/>
        <family val="2"/>
        <scheme val="minor"/>
      </rPr>
      <t>=1/3</t>
    </r>
  </si>
  <si>
    <r>
      <rPr>
        <b/>
        <u/>
        <sz val="9"/>
        <color rgb="FFFF0000"/>
        <rFont val="Arial"/>
        <family val="2"/>
        <scheme val="minor"/>
      </rPr>
      <t>Evaluate alternatives:</t>
    </r>
    <r>
      <rPr>
        <b/>
        <sz val="9"/>
        <color rgb="FFFF0000"/>
        <rFont val="Arial"/>
        <family val="2"/>
        <scheme val="minor"/>
      </rPr>
      <t xml:space="preserve"> </t>
    </r>
    <r>
      <rPr>
        <sz val="9"/>
        <color theme="1"/>
        <rFont val="Arial"/>
        <family val="2"/>
        <scheme val="minor"/>
      </rPr>
      <t>Use the same nine-point scale provided beside to compare the relative importance of each alternative (prioritized aspect) in the row to each alternative in the column (</t>
    </r>
    <r>
      <rPr>
        <b/>
        <sz val="12"/>
        <color rgb="FFFF9933"/>
        <rFont val="Arial"/>
        <family val="2"/>
        <scheme val="minor"/>
      </rPr>
      <t>orange cells</t>
    </r>
    <r>
      <rPr>
        <sz val="9"/>
        <color theme="1"/>
        <rFont val="Arial"/>
        <family val="2"/>
        <scheme val="minor"/>
      </rPr>
      <t>) concerning the "</t>
    </r>
    <r>
      <rPr>
        <b/>
        <sz val="9"/>
        <color theme="1"/>
        <rFont val="Arial"/>
        <family val="2"/>
        <scheme val="minor"/>
      </rPr>
      <t>App domain specificity</t>
    </r>
    <r>
      <rPr>
        <sz val="9"/>
        <color theme="1"/>
        <rFont val="Arial"/>
        <family val="2"/>
        <scheme val="minor"/>
      </rPr>
      <t xml:space="preserve">" criterion. </t>
    </r>
    <r>
      <rPr>
        <b/>
        <sz val="11"/>
        <color theme="1"/>
        <rFont val="Arial"/>
        <family val="2"/>
        <scheme val="minor"/>
      </rPr>
      <t xml:space="preserve">Please only input a number in the cells with the column header if the header (-) keeps </t>
    </r>
    <r>
      <rPr>
        <b/>
        <sz val="11"/>
        <color rgb="FFFF0000"/>
        <rFont val="Arial"/>
        <family val="2"/>
        <scheme val="minor"/>
      </rPr>
      <t>empty</t>
    </r>
    <r>
      <rPr>
        <b/>
        <sz val="11"/>
        <color theme="1"/>
        <rFont val="Arial"/>
        <family val="2"/>
        <scheme val="minor"/>
      </rPr>
      <t>.</t>
    </r>
    <r>
      <rPr>
        <sz val="9"/>
        <color theme="1"/>
        <rFont val="Arial"/>
        <family val="2"/>
        <scheme val="minor"/>
      </rPr>
      <t xml:space="preserve">
</t>
    </r>
    <r>
      <rPr>
        <b/>
        <u/>
        <sz val="9"/>
        <color rgb="FFFF0000"/>
        <rFont val="Arial"/>
        <family val="2"/>
        <scheme val="minor"/>
      </rPr>
      <t>Example Comparison:</t>
    </r>
    <r>
      <rPr>
        <sz val="9"/>
        <color theme="1"/>
        <rFont val="Arial"/>
        <family val="2"/>
        <scheme val="minor"/>
      </rPr>
      <t xml:space="preserve">
</t>
    </r>
    <r>
      <rPr>
        <b/>
        <sz val="9"/>
        <color theme="1"/>
        <rFont val="Arial"/>
        <family val="2"/>
        <scheme val="minor"/>
      </rPr>
      <t>Ask yourself,</t>
    </r>
    <r>
      <rPr>
        <sz val="9"/>
        <color theme="1"/>
        <rFont val="Arial"/>
        <family val="2"/>
        <scheme val="minor"/>
      </rPr>
      <t xml:space="preserve"> "With respect to the criterion "</t>
    </r>
    <r>
      <rPr>
        <b/>
        <sz val="9"/>
        <color theme="1"/>
        <rFont val="Arial"/>
        <family val="2"/>
        <scheme val="minor"/>
      </rPr>
      <t>App domain specificity</t>
    </r>
    <r>
      <rPr>
        <sz val="9"/>
        <color theme="1"/>
        <rFont val="Arial"/>
        <family val="2"/>
        <scheme val="minor"/>
      </rPr>
      <t xml:space="preserve">," how much more do you prefer alternative (i.e., X "in the row" to alternative Y" in the column"? And assign a number from the scale.
Continue by comparing each alternative (in the row) to all alternatives (in the columns) one by one concerning the "App domain specificity" criterion until all alternatives in the rows have been pairwise compared to the ones in the columns.
</t>
    </r>
    <r>
      <rPr>
        <b/>
        <u/>
        <sz val="9"/>
        <color rgb="FFFF0000"/>
        <rFont val="Arial"/>
        <family val="2"/>
        <scheme val="minor"/>
      </rPr>
      <t xml:space="preserve">Please Note (Less Important alternative):
</t>
    </r>
    <r>
      <rPr>
        <sz val="9"/>
        <color theme="1"/>
        <rFont val="Arial"/>
        <family val="2"/>
        <scheme val="minor"/>
      </rPr>
      <t xml:space="preserve">If you believe an alternative in the row is less important than one in the column, use the reciprocals of the nine-point scale, where 1 ("equally unimportant") to 1/9 ("extreme unimportance").
For example, if alternative X (in the row) is less important than alternative Y (in the column), you might assign a value like </t>
    </r>
    <r>
      <rPr>
        <b/>
        <sz val="12"/>
        <color theme="1"/>
        <rFont val="Arial"/>
        <family val="2"/>
        <scheme val="minor"/>
      </rPr>
      <t>=1/3.</t>
    </r>
  </si>
  <si>
    <r>
      <rPr>
        <b/>
        <u/>
        <sz val="10"/>
        <color rgb="FFFF0000"/>
        <rFont val="Times New Roman"/>
        <family val="1"/>
        <scheme val="major"/>
      </rPr>
      <t>Assess Relative Importance:</t>
    </r>
    <r>
      <rPr>
        <sz val="10"/>
        <color theme="1"/>
        <rFont val="Times New Roman"/>
        <family val="1"/>
        <scheme val="major"/>
      </rPr>
      <t xml:space="preserve"> Use the nine-point scale provided on the side to compare the relative importance of each criterion in the row to each criterion in the column (</t>
    </r>
    <r>
      <rPr>
        <b/>
        <u/>
        <sz val="10"/>
        <color rgb="FFFF9933"/>
        <rFont val="Times New Roman"/>
        <family val="1"/>
        <scheme val="major"/>
      </rPr>
      <t>orange cells</t>
    </r>
    <r>
      <rPr>
        <sz val="10"/>
        <color theme="1"/>
        <rFont val="Times New Roman"/>
        <family val="1"/>
        <scheme val="major"/>
      </rPr>
      <t xml:space="preserve">). 
</t>
    </r>
    <r>
      <rPr>
        <b/>
        <u/>
        <sz val="10"/>
        <color rgb="FFFF0000"/>
        <rFont val="Times New Roman"/>
        <family val="1"/>
        <scheme val="major"/>
      </rPr>
      <t>Example Comparison:</t>
    </r>
    <r>
      <rPr>
        <sz val="10"/>
        <color theme="1"/>
        <rFont val="Times New Roman"/>
        <family val="1"/>
        <scheme val="major"/>
      </rPr>
      <t xml:space="preserve">
</t>
    </r>
    <r>
      <rPr>
        <b/>
        <u/>
        <sz val="10"/>
        <color theme="1"/>
        <rFont val="Times New Roman"/>
        <family val="1"/>
        <scheme val="major"/>
      </rPr>
      <t>Ask yourself,</t>
    </r>
    <r>
      <rPr>
        <sz val="10"/>
        <color theme="1"/>
        <rFont val="Times New Roman"/>
        <family val="1"/>
        <scheme val="major"/>
      </rPr>
      <t xml:space="preserve"> "How much more important is the criterion 'User profiles' (in the row) than 'App domain specificity' (in the column)?" and assign a number from the scale.
Continue by comparing "User profiles" (in the row) to "Task Complexity" (in the column), and then to "Feasibility" (in the column), and so on, until all criteria in the rows have been pairwise compared to the ones in the columns.
</t>
    </r>
    <r>
      <rPr>
        <b/>
        <u/>
        <sz val="10"/>
        <color rgb="FFFF0000"/>
        <rFont val="Times New Roman"/>
        <family val="1"/>
        <scheme val="major"/>
      </rPr>
      <t>Please Note (Less Important Criterion):</t>
    </r>
    <r>
      <rPr>
        <sz val="10"/>
        <color theme="1"/>
        <rFont val="Times New Roman"/>
        <family val="1"/>
        <scheme val="major"/>
      </rPr>
      <t xml:space="preserve">
If you believe a criterion in the row is less important than one in the column, use the reciprocals of the nine-point scale, where 1 ("equally unimportant") to 1/9 ("extreme unimportance").
For example, if "User profiles" (in the row) is less important than "App domain specificity" (in the column), you might assign a value like </t>
    </r>
    <r>
      <rPr>
        <b/>
        <sz val="14"/>
        <color theme="1"/>
        <rFont val="Times New Roman"/>
        <family val="1"/>
        <scheme val="major"/>
      </rPr>
      <t>=1/3</t>
    </r>
    <r>
      <rPr>
        <sz val="10"/>
        <color theme="1"/>
        <rFont val="Times New Roman"/>
        <family val="1"/>
        <scheme val="major"/>
      </rPr>
      <t>. For more info please visit:</t>
    </r>
  </si>
  <si>
    <r>
      <rPr>
        <b/>
        <u/>
        <sz val="9"/>
        <color rgb="FFFF0000"/>
        <rFont val="Arial"/>
        <family val="2"/>
        <scheme val="minor"/>
      </rPr>
      <t>Evaluate alternatives:</t>
    </r>
    <r>
      <rPr>
        <b/>
        <sz val="9"/>
        <color rgb="FFFF0000"/>
        <rFont val="Arial"/>
        <family val="2"/>
        <scheme val="minor"/>
      </rPr>
      <t xml:space="preserve"> </t>
    </r>
    <r>
      <rPr>
        <sz val="9"/>
        <color theme="1"/>
        <rFont val="Arial"/>
        <family val="2"/>
        <scheme val="minor"/>
      </rPr>
      <t>Use the same nine-point scale provided beside to compare the relative importance of each alternative (prioritized aspect) in the row to each alternative in the column (</t>
    </r>
    <r>
      <rPr>
        <b/>
        <sz val="12"/>
        <color rgb="FFFF9933"/>
        <rFont val="Arial"/>
        <family val="2"/>
        <scheme val="minor"/>
      </rPr>
      <t>orange cells</t>
    </r>
    <r>
      <rPr>
        <sz val="9"/>
        <color theme="1"/>
        <rFont val="Arial"/>
        <family val="2"/>
        <scheme val="minor"/>
      </rPr>
      <t>) concerning the "</t>
    </r>
    <r>
      <rPr>
        <b/>
        <sz val="9"/>
        <color theme="1"/>
        <rFont val="Arial"/>
        <family val="2"/>
        <scheme val="minor"/>
      </rPr>
      <t>Feasibility</t>
    </r>
    <r>
      <rPr>
        <sz val="9"/>
        <color theme="1"/>
        <rFont val="Arial"/>
        <family val="2"/>
        <scheme val="minor"/>
      </rPr>
      <t xml:space="preserve">" criterion. </t>
    </r>
    <r>
      <rPr>
        <b/>
        <sz val="11"/>
        <color theme="1"/>
        <rFont val="Arial"/>
        <family val="2"/>
        <scheme val="minor"/>
      </rPr>
      <t xml:space="preserve">Please only input a number in the cells with the column header if the header (-) keeps </t>
    </r>
    <r>
      <rPr>
        <b/>
        <sz val="11"/>
        <color rgb="FFFF0000"/>
        <rFont val="Arial"/>
        <family val="2"/>
        <scheme val="minor"/>
      </rPr>
      <t>empty</t>
    </r>
    <r>
      <rPr>
        <b/>
        <sz val="11"/>
        <color theme="1"/>
        <rFont val="Arial"/>
        <family val="2"/>
        <scheme val="minor"/>
      </rPr>
      <t>.</t>
    </r>
    <r>
      <rPr>
        <sz val="9"/>
        <color theme="1"/>
        <rFont val="Arial"/>
        <family val="2"/>
        <scheme val="minor"/>
      </rPr>
      <t xml:space="preserve">
</t>
    </r>
    <r>
      <rPr>
        <b/>
        <u/>
        <sz val="9"/>
        <color rgb="FFFF0000"/>
        <rFont val="Arial"/>
        <family val="2"/>
        <scheme val="minor"/>
      </rPr>
      <t>Example Comparison:</t>
    </r>
    <r>
      <rPr>
        <sz val="9"/>
        <color theme="1"/>
        <rFont val="Arial"/>
        <family val="2"/>
        <scheme val="minor"/>
      </rPr>
      <t xml:space="preserve">
</t>
    </r>
    <r>
      <rPr>
        <b/>
        <sz val="9"/>
        <color theme="1"/>
        <rFont val="Arial"/>
        <family val="2"/>
        <scheme val="minor"/>
      </rPr>
      <t>Ask yourself,</t>
    </r>
    <r>
      <rPr>
        <sz val="9"/>
        <color theme="1"/>
        <rFont val="Arial"/>
        <family val="2"/>
        <scheme val="minor"/>
      </rPr>
      <t xml:space="preserve"> "With respect to the criterion "</t>
    </r>
    <r>
      <rPr>
        <b/>
        <sz val="9"/>
        <color theme="1"/>
        <rFont val="Arial"/>
        <family val="2"/>
        <scheme val="minor"/>
      </rPr>
      <t>Feasibility</t>
    </r>
    <r>
      <rPr>
        <sz val="9"/>
        <color theme="1"/>
        <rFont val="Arial"/>
        <family val="2"/>
        <scheme val="minor"/>
      </rPr>
      <t>," how much more do you prefer alternative (i.e., X "in the row" to alternative Y" in the column"? And assign a number from the scale.
Continue by comparing each alternative (in the row) to all alternatives (in the columns) one by one concerning the "</t>
    </r>
    <r>
      <rPr>
        <b/>
        <sz val="9"/>
        <color theme="1"/>
        <rFont val="Arial"/>
        <family val="2"/>
        <scheme val="minor"/>
      </rPr>
      <t>Feasibility</t>
    </r>
    <r>
      <rPr>
        <sz val="9"/>
        <color theme="1"/>
        <rFont val="Arial"/>
        <family val="2"/>
        <scheme val="minor"/>
      </rPr>
      <t xml:space="preserve">" criterion until all alternatives in the rows have been pairwise compared to the ones in the columns.
</t>
    </r>
    <r>
      <rPr>
        <b/>
        <u/>
        <sz val="9"/>
        <color rgb="FFFF0000"/>
        <rFont val="Arial"/>
        <family val="2"/>
        <scheme val="minor"/>
      </rPr>
      <t xml:space="preserve">Please Note (Less Important alternative):
</t>
    </r>
    <r>
      <rPr>
        <sz val="9"/>
        <color theme="1"/>
        <rFont val="Arial"/>
        <family val="2"/>
        <scheme val="minor"/>
      </rPr>
      <t xml:space="preserve">If you believe an alternative in the row is less important than one in the column, use the reciprocals of the nine-point scale, where 1 ("equally unimportant") to 1/9 ("extreme unimportance").
For example, if alternative X (in the row) is less important than alternative Y (in the column), you might assign a value like </t>
    </r>
    <r>
      <rPr>
        <b/>
        <sz val="12"/>
        <color theme="1"/>
        <rFont val="Arial"/>
        <family val="2"/>
        <scheme val="minor"/>
      </rPr>
      <t>=1/3.</t>
    </r>
  </si>
  <si>
    <t>Task Complexity(alternatives pairwise comparison matrix)</t>
  </si>
  <si>
    <t>Feasibility(alternatives pairwise comparison matrix)</t>
  </si>
  <si>
    <t>Structure the hierarchy</t>
  </si>
  <si>
    <t>Pairwise comparison matrix</t>
  </si>
  <si>
    <t>Square the matrix</t>
  </si>
  <si>
    <t>Domain:</t>
  </si>
  <si>
    <r>
      <rPr>
        <b/>
        <u/>
        <sz val="10"/>
        <color rgb="FFFF0000"/>
        <rFont val="Times New Roman"/>
        <family val="1"/>
        <scheme val="major"/>
      </rPr>
      <t>Stage-2:</t>
    </r>
    <r>
      <rPr>
        <u/>
        <sz val="10"/>
        <color rgb="FFFF0000"/>
        <rFont val="Times New Roman"/>
        <family val="1"/>
        <scheme val="major"/>
      </rPr>
      <t xml:space="preserve"> </t>
    </r>
    <r>
      <rPr>
        <sz val="10"/>
        <color theme="1"/>
        <rFont val="Times New Roman"/>
        <family val="1"/>
        <scheme val="major"/>
      </rPr>
      <t xml:space="preserve">After completing the MoSCoW method, use the Analytic Hierarchy Process (AHP) to rank the prioritized UX aspects (from Step 1) according to the four criteria below. 
</t>
    </r>
    <r>
      <rPr>
        <b/>
        <sz val="10"/>
        <color theme="1"/>
        <rFont val="Times New Roman"/>
        <family val="1"/>
        <scheme val="major"/>
      </rPr>
      <t>Please proceed to the sheets labeled "Compare and weight the criteria," "User profiles," "App domain specificity," "Task Complexity," and "Feasibility." Follow the instructions in each sheet to automatically generate the ranked list on the final sheet labeled "Total scores."</t>
    </r>
  </si>
  <si>
    <r>
      <rPr>
        <b/>
        <sz val="9"/>
        <rFont val="Times New Roman"/>
        <family val="1"/>
        <scheme val="major"/>
      </rPr>
      <t>This tool is designed to help prioritize UX aspects for mobile applications. You'll use it to rank the UX aspects for assessing your mobile app in your organization.</t>
    </r>
    <r>
      <rPr>
        <sz val="9"/>
        <color theme="1"/>
        <rFont val="Times New Roman"/>
        <family val="1"/>
        <scheme val="major"/>
      </rPr>
      <t xml:space="preserve">
</t>
    </r>
    <r>
      <rPr>
        <b/>
        <u/>
        <sz val="10"/>
        <color rgb="FFFF0000"/>
        <rFont val="Times New Roman"/>
        <family val="1"/>
        <scheme val="major"/>
      </rPr>
      <t xml:space="preserve">Stage-1: </t>
    </r>
    <r>
      <rPr>
        <b/>
        <sz val="10"/>
        <color theme="1"/>
        <rFont val="Times New Roman"/>
        <family val="1"/>
        <scheme val="major"/>
      </rPr>
      <t>Use the MoSCoW Method to assign one of the below categories in the</t>
    </r>
    <r>
      <rPr>
        <b/>
        <sz val="12"/>
        <color theme="1"/>
        <rFont val="Times New Roman"/>
        <family val="1"/>
        <scheme val="major"/>
      </rPr>
      <t xml:space="preserve"> </t>
    </r>
    <r>
      <rPr>
        <b/>
        <u/>
        <sz val="12"/>
        <color theme="3" tint="0.249977111117893"/>
        <rFont val="Times New Roman"/>
        <family val="1"/>
        <scheme val="major"/>
      </rPr>
      <t>blue cells</t>
    </r>
    <r>
      <rPr>
        <b/>
        <sz val="12"/>
        <color theme="1"/>
        <rFont val="Times New Roman"/>
        <family val="1"/>
        <scheme val="major"/>
      </rPr>
      <t xml:space="preserve"> </t>
    </r>
    <r>
      <rPr>
        <b/>
        <sz val="10"/>
        <color theme="1"/>
        <rFont val="Times New Roman"/>
        <family val="1"/>
        <scheme val="major"/>
      </rPr>
      <t>for each aspect, considering these four criteria:</t>
    </r>
    <r>
      <rPr>
        <sz val="9"/>
        <color theme="1"/>
        <rFont val="Times New Roman"/>
        <family val="1"/>
        <scheme val="major"/>
      </rPr>
      <t xml:space="preserve">
</t>
    </r>
    <r>
      <rPr>
        <b/>
        <sz val="9"/>
        <color theme="1"/>
        <rFont val="Times New Roman"/>
        <family val="1"/>
        <scheme val="major"/>
      </rPr>
      <t>1-User profiles</t>
    </r>
    <r>
      <rPr>
        <sz val="9"/>
        <color theme="1"/>
        <rFont val="Times New Roman"/>
        <family val="1"/>
        <scheme val="major"/>
      </rPr>
      <t xml:space="preserve">: Importance of this aspect for the different user groups of the mobile app..
</t>
    </r>
    <r>
      <rPr>
        <b/>
        <sz val="9"/>
        <color theme="1"/>
        <rFont val="Times New Roman"/>
        <family val="1"/>
        <scheme val="major"/>
      </rPr>
      <t>2-App domain specificity:</t>
    </r>
    <r>
      <rPr>
        <sz val="9"/>
        <color theme="1"/>
        <rFont val="Times New Roman"/>
        <family val="1"/>
        <scheme val="major"/>
      </rPr>
      <t xml:space="preserve"> The relevance of this aspect to the mobile application domain will be developed or evaluated.
</t>
    </r>
    <r>
      <rPr>
        <b/>
        <sz val="9"/>
        <color theme="1"/>
        <rFont val="Times New Roman"/>
        <family val="1"/>
        <scheme val="major"/>
      </rPr>
      <t>3-Task complexity:</t>
    </r>
    <r>
      <rPr>
        <sz val="9"/>
        <color theme="1"/>
        <rFont val="Times New Roman"/>
        <family val="1"/>
        <scheme val="major"/>
      </rPr>
      <t xml:space="preserve"> Importance of this aspect for assessing complex tasks.
</t>
    </r>
    <r>
      <rPr>
        <b/>
        <sz val="9"/>
        <color theme="1"/>
        <rFont val="Times New Roman"/>
        <family val="1"/>
        <scheme val="major"/>
      </rPr>
      <t xml:space="preserve">4-Feasibility: </t>
    </r>
    <r>
      <rPr>
        <sz val="9"/>
        <color theme="1"/>
        <rFont val="Times New Roman"/>
        <family val="1"/>
        <scheme val="major"/>
      </rPr>
      <t xml:space="preserve">Feasibility of implementing this aspect given available resources (time, cost, personnel).
</t>
    </r>
    <r>
      <rPr>
        <b/>
        <i/>
        <u/>
        <sz val="9"/>
        <color rgb="FFFF0000"/>
        <rFont val="Times New Roman"/>
        <family val="1"/>
        <scheme val="major"/>
      </rPr>
      <t>MoSCoW Method categories:</t>
    </r>
    <r>
      <rPr>
        <u/>
        <sz val="9"/>
        <color rgb="FFFF0000"/>
        <rFont val="Times New Roman"/>
        <family val="1"/>
        <scheme val="major"/>
      </rPr>
      <t xml:space="preserve">
</t>
    </r>
    <r>
      <rPr>
        <b/>
        <sz val="9"/>
        <color theme="1"/>
        <rFont val="Times New Roman"/>
        <family val="1"/>
        <scheme val="major"/>
      </rPr>
      <t>-Must Have:</t>
    </r>
    <r>
      <rPr>
        <sz val="9"/>
        <color theme="1"/>
        <rFont val="Times New Roman"/>
        <family val="1"/>
        <scheme val="major"/>
      </rPr>
      <t xml:space="preserve"> Essential UX aspects critical for the app's functionality and user satisfaction. Necessary for meeting basic user needs.
</t>
    </r>
    <r>
      <rPr>
        <b/>
        <sz val="9"/>
        <color theme="1"/>
        <rFont val="Times New Roman"/>
        <family val="1"/>
        <scheme val="major"/>
      </rPr>
      <t>-Should Have</t>
    </r>
    <r>
      <rPr>
        <sz val="9"/>
        <color theme="1"/>
        <rFont val="Times New Roman"/>
        <family val="1"/>
        <scheme val="major"/>
      </rPr>
      <t xml:space="preserve">: Important aspects that enhance UX but aren't critical.
</t>
    </r>
    <r>
      <rPr>
        <b/>
        <sz val="9"/>
        <color theme="1"/>
        <rFont val="Times New Roman"/>
        <family val="1"/>
        <scheme val="major"/>
      </rPr>
      <t>-Could Have:</t>
    </r>
    <r>
      <rPr>
        <sz val="9"/>
        <color theme="1"/>
        <rFont val="Times New Roman"/>
        <family val="1"/>
        <scheme val="major"/>
      </rPr>
      <t xml:space="preserve"> Nice-to-have features that improve UX but are non-essential.
</t>
    </r>
    <r>
      <rPr>
        <b/>
        <sz val="9"/>
        <color theme="1"/>
        <rFont val="Times New Roman"/>
        <family val="1"/>
        <scheme val="major"/>
      </rPr>
      <t xml:space="preserve">-Won't Have: </t>
    </r>
    <r>
      <rPr>
        <sz val="9"/>
        <color theme="1"/>
        <rFont val="Times New Roman"/>
        <family val="1"/>
        <scheme val="major"/>
      </rPr>
      <t>Aspects that won't be included due to irrelevance, low impact, or constraints.</t>
    </r>
  </si>
  <si>
    <t>Rli of aspect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</si>
</sst>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rial"/>
      <family val="2"/>
      <scheme val="minor"/>
    </font>
    <font>
      <b/>
      <sz val="11"/>
      <color theme="1"/>
      <name val="Arial"/>
      <family val="2"/>
      <scheme val="minor"/>
    </font>
    <font>
      <b/>
      <sz val="12"/>
      <color theme="1"/>
      <name val="Arial"/>
      <family val="2"/>
      <scheme val="minor"/>
    </font>
    <font>
      <sz val="10"/>
      <color theme="1"/>
      <name val="Arial"/>
      <family val="2"/>
      <scheme val="minor"/>
    </font>
    <font>
      <b/>
      <sz val="12"/>
      <color rgb="FFFF0000"/>
      <name val="Arial"/>
      <family val="2"/>
      <scheme val="minor"/>
    </font>
    <font>
      <b/>
      <sz val="16"/>
      <color rgb="FFFF0000"/>
      <name val="Arial"/>
      <family val="2"/>
      <scheme val="minor"/>
    </font>
    <font>
      <b/>
      <sz val="10"/>
      <color theme="1"/>
      <name val="Arial"/>
      <family val="2"/>
      <scheme val="minor"/>
    </font>
    <font>
      <sz val="9"/>
      <color theme="1"/>
      <name val="Arial"/>
      <family val="2"/>
      <scheme val="minor"/>
    </font>
    <font>
      <sz val="11"/>
      <color rgb="FFFF0000"/>
      <name val="Arial"/>
      <family val="2"/>
      <scheme val="minor"/>
    </font>
    <font>
      <b/>
      <sz val="11"/>
      <color rgb="FFFF0000"/>
      <name val="Arial"/>
      <family val="2"/>
      <scheme val="minor"/>
    </font>
    <font>
      <vertAlign val="subscript"/>
      <sz val="11"/>
      <color theme="1"/>
      <name val="Arial"/>
      <family val="2"/>
      <scheme val="minor"/>
    </font>
    <font>
      <b/>
      <sz val="10"/>
      <color rgb="FFFF0000"/>
      <name val="Arial"/>
      <family val="2"/>
      <scheme val="minor"/>
    </font>
    <font>
      <b/>
      <sz val="10"/>
      <name val="Segoe UI"/>
      <family val="2"/>
    </font>
    <font>
      <b/>
      <sz val="9"/>
      <color rgb="FFFF0000"/>
      <name val="Arial"/>
      <family val="2"/>
      <scheme val="minor"/>
    </font>
    <font>
      <b/>
      <u/>
      <sz val="9"/>
      <color rgb="FFFF0000"/>
      <name val="Arial"/>
      <family val="2"/>
      <scheme val="minor"/>
    </font>
    <font>
      <b/>
      <sz val="9"/>
      <color theme="1"/>
      <name val="Arial"/>
      <family val="2"/>
      <scheme val="minor"/>
    </font>
    <font>
      <sz val="9"/>
      <color theme="1"/>
      <name val="Times New Roman"/>
      <family val="1"/>
      <scheme val="major"/>
    </font>
    <font>
      <b/>
      <sz val="9"/>
      <name val="Times New Roman"/>
      <family val="1"/>
      <scheme val="major"/>
    </font>
    <font>
      <b/>
      <sz val="9"/>
      <color theme="1"/>
      <name val="Times New Roman"/>
      <family val="1"/>
      <scheme val="major"/>
    </font>
    <font>
      <b/>
      <sz val="10"/>
      <color theme="1"/>
      <name val="Times New Roman"/>
      <family val="1"/>
      <scheme val="major"/>
    </font>
    <font>
      <b/>
      <sz val="10"/>
      <color rgb="FFFF0000"/>
      <name val="Times New Roman"/>
      <family val="1"/>
      <scheme val="major"/>
    </font>
    <font>
      <sz val="8"/>
      <color theme="1"/>
      <name val="Times New Roman"/>
      <family val="1"/>
      <scheme val="major"/>
    </font>
    <font>
      <sz val="10"/>
      <color theme="1"/>
      <name val="Times New Roman"/>
      <family val="1"/>
      <scheme val="major"/>
    </font>
    <font>
      <b/>
      <sz val="12"/>
      <color theme="1"/>
      <name val="Times New Roman"/>
      <family val="1"/>
      <scheme val="major"/>
    </font>
    <font>
      <u/>
      <sz val="9"/>
      <color rgb="FFFF0000"/>
      <name val="Times New Roman"/>
      <family val="1"/>
      <scheme val="major"/>
    </font>
    <font>
      <b/>
      <sz val="12"/>
      <color rgb="FFFF0000"/>
      <name val="Times New Roman"/>
      <family val="1"/>
      <scheme val="major"/>
    </font>
    <font>
      <b/>
      <u/>
      <sz val="10"/>
      <color rgb="FFFF0000"/>
      <name val="Times New Roman"/>
      <family val="1"/>
      <scheme val="major"/>
    </font>
    <font>
      <b/>
      <u/>
      <sz val="10"/>
      <color theme="1"/>
      <name val="Times New Roman"/>
      <family val="1"/>
      <scheme val="major"/>
    </font>
    <font>
      <u/>
      <sz val="10"/>
      <color rgb="FFFF0000"/>
      <name val="Times New Roman"/>
      <family val="1"/>
      <scheme val="major"/>
    </font>
    <font>
      <b/>
      <u/>
      <sz val="10"/>
      <color rgb="FFFF9933"/>
      <name val="Times New Roman"/>
      <family val="1"/>
      <scheme val="major"/>
    </font>
    <font>
      <sz val="11"/>
      <name val="Arial"/>
      <family val="2"/>
      <scheme val="minor"/>
    </font>
    <font>
      <b/>
      <u/>
      <sz val="14"/>
      <color rgb="FFFF0000"/>
      <name val="Times New Roman"/>
      <family val="1"/>
      <scheme val="major"/>
    </font>
    <font>
      <b/>
      <sz val="12"/>
      <color rgb="FFFF9933"/>
      <name val="Arial"/>
      <family val="2"/>
      <scheme val="minor"/>
    </font>
    <font>
      <b/>
      <i/>
      <u/>
      <sz val="9"/>
      <color rgb="FFFF0000"/>
      <name val="Times New Roman"/>
      <family val="1"/>
      <scheme val="major"/>
    </font>
    <font>
      <b/>
      <u/>
      <sz val="12"/>
      <color theme="3" tint="0.249977111117893"/>
      <name val="Times New Roman"/>
      <family val="1"/>
      <scheme val="major"/>
    </font>
    <font>
      <b/>
      <sz val="14"/>
      <color theme="1"/>
      <name val="Times New Roman"/>
      <family val="1"/>
      <scheme val="maj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rgb="FFFFE5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6F0FA"/>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90">
    <xf numFmtId="0" fontId="0" fillId="0" borderId="0" xfId="0"/>
    <xf numFmtId="0" fontId="0" fillId="2" borderId="0" xfId="0" applyFill="1"/>
    <xf numFmtId="0" fontId="3" fillId="2" borderId="0" xfId="0" applyFont="1" applyFill="1"/>
    <xf numFmtId="0" fontId="7" fillId="2" borderId="1" xfId="0" applyFont="1" applyFill="1" applyBorder="1" applyAlignment="1">
      <alignment horizontal="left" vertical="center"/>
    </xf>
    <xf numFmtId="0" fontId="0" fillId="0" borderId="0" xfId="0" applyAlignment="1">
      <alignment wrapText="1"/>
    </xf>
    <xf numFmtId="0" fontId="7"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xf numFmtId="0" fontId="0" fillId="0" borderId="1" xfId="0" applyBorder="1" applyAlignment="1">
      <alignment horizontal="center" wrapText="1"/>
    </xf>
    <xf numFmtId="0" fontId="0" fillId="0" borderId="1" xfId="0" applyBorder="1" applyAlignment="1">
      <alignment horizontal="center"/>
    </xf>
    <xf numFmtId="0" fontId="3" fillId="2" borderId="5"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5" xfId="0" applyFont="1" applyFill="1" applyBorder="1" applyAlignment="1">
      <alignment horizontal="left" vertical="center"/>
    </xf>
    <xf numFmtId="0" fontId="3" fillId="2" borderId="5" xfId="0" applyFont="1" applyFill="1" applyBorder="1" applyAlignment="1">
      <alignment horizontal="center" vertical="center" wrapText="1"/>
    </xf>
    <xf numFmtId="0" fontId="3" fillId="2" borderId="0" xfId="0" applyFont="1" applyFill="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left" vertical="center"/>
    </xf>
    <xf numFmtId="0" fontId="3" fillId="2" borderId="0" xfId="0" applyFont="1" applyFill="1" applyAlignment="1">
      <alignment horizontal="center" vertical="center" wrapText="1"/>
    </xf>
    <xf numFmtId="0" fontId="22" fillId="13" borderId="1" xfId="0" applyFont="1" applyFill="1" applyBorder="1" applyAlignment="1" applyProtection="1">
      <alignment horizontal="center" vertical="center"/>
      <protection locked="0"/>
    </xf>
    <xf numFmtId="0" fontId="22"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horizontal="justify" vertical="center" wrapText="1"/>
    </xf>
    <xf numFmtId="0" fontId="21" fillId="0" borderId="1" xfId="0" applyFont="1" applyBorder="1" applyAlignment="1">
      <alignment horizontal="center" vertical="center"/>
    </xf>
    <xf numFmtId="0" fontId="19" fillId="10" borderId="1" xfId="0" applyFont="1" applyFill="1" applyBorder="1" applyAlignment="1">
      <alignment horizontal="center" vertical="center"/>
    </xf>
    <xf numFmtId="0" fontId="19" fillId="7"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9" fillId="0" borderId="3" xfId="0" applyFont="1" applyBorder="1"/>
    <xf numFmtId="0" fontId="0" fillId="0" borderId="1" xfId="0" applyBorder="1" applyAlignment="1">
      <alignment wrapText="1"/>
    </xf>
    <xf numFmtId="0" fontId="0" fillId="10" borderId="1" xfId="0" applyFill="1" applyBorder="1" applyAlignment="1" applyProtection="1">
      <alignment horizontal="center"/>
      <protection locked="0"/>
    </xf>
    <xf numFmtId="0" fontId="9" fillId="2" borderId="0" xfId="0" applyFont="1" applyFill="1"/>
    <xf numFmtId="0" fontId="6" fillId="9" borderId="1" xfId="0" applyFont="1" applyFill="1" applyBorder="1" applyAlignment="1">
      <alignment horizontal="center" vertical="center" wrapText="1"/>
    </xf>
    <xf numFmtId="0" fontId="0" fillId="6" borderId="1" xfId="0" applyFill="1" applyBorder="1" applyAlignment="1">
      <alignment horizontal="center"/>
    </xf>
    <xf numFmtId="0" fontId="6"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0" fillId="8" borderId="1" xfId="0" applyFill="1" applyBorder="1" applyAlignment="1">
      <alignment horizontal="center"/>
    </xf>
    <xf numFmtId="0" fontId="0" fillId="2" borderId="1" xfId="0" applyFill="1" applyBorder="1" applyAlignment="1">
      <alignment horizontal="center"/>
    </xf>
    <xf numFmtId="0" fontId="1" fillId="5" borderId="1" xfId="0" applyFont="1" applyFill="1" applyBorder="1" applyAlignment="1">
      <alignment horizontal="center"/>
    </xf>
    <xf numFmtId="0" fontId="0" fillId="2" borderId="0" xfId="0" applyFill="1" applyAlignment="1">
      <alignment horizontal="center"/>
    </xf>
    <xf numFmtId="0" fontId="0" fillId="2" borderId="0" xfId="0" applyFill="1" applyAlignment="1">
      <alignment wrapText="1"/>
    </xf>
    <xf numFmtId="0" fontId="0" fillId="10" borderId="1" xfId="0" applyFill="1" applyBorder="1" applyProtection="1">
      <protection locked="0"/>
    </xf>
    <xf numFmtId="0" fontId="0" fillId="10" borderId="1" xfId="0" applyFill="1" applyBorder="1" applyAlignment="1" applyProtection="1">
      <alignment wrapText="1"/>
      <protection locked="0"/>
    </xf>
    <xf numFmtId="0" fontId="7" fillId="2" borderId="0" xfId="0" applyFont="1" applyFill="1" applyAlignment="1">
      <alignment wrapText="1"/>
    </xf>
    <xf numFmtId="0" fontId="9" fillId="2" borderId="0" xfId="0" applyFont="1" applyFill="1" applyAlignment="1">
      <alignment horizontal="center"/>
    </xf>
    <xf numFmtId="0" fontId="0" fillId="2" borderId="6" xfId="0" applyFill="1" applyBorder="1" applyAlignment="1">
      <alignment horizontal="center"/>
    </xf>
    <xf numFmtId="0" fontId="7" fillId="0" borderId="0" xfId="0" applyFont="1" applyAlignment="1">
      <alignment wrapText="1"/>
    </xf>
    <xf numFmtId="0" fontId="7" fillId="9" borderId="1" xfId="0" applyFont="1" applyFill="1" applyBorder="1"/>
    <xf numFmtId="0" fontId="7" fillId="9" borderId="1" xfId="0" applyFont="1" applyFill="1" applyBorder="1" applyAlignment="1">
      <alignment wrapText="1"/>
    </xf>
    <xf numFmtId="0" fontId="0" fillId="2" borderId="4" xfId="0" applyFill="1" applyBorder="1"/>
    <xf numFmtId="0" fontId="0" fillId="2" borderId="1" xfId="0" applyFill="1" applyBorder="1"/>
    <xf numFmtId="0" fontId="0" fillId="0" borderId="1" xfId="0" applyBorder="1"/>
    <xf numFmtId="0" fontId="0" fillId="6" borderId="1" xfId="0" applyFill="1" applyBorder="1"/>
    <xf numFmtId="0" fontId="7" fillId="9" borderId="1" xfId="0" applyFont="1" applyFill="1" applyBorder="1" applyAlignment="1">
      <alignment horizontal="center" vertical="center"/>
    </xf>
    <xf numFmtId="0" fontId="12" fillId="7" borderId="1" xfId="0" applyFont="1" applyFill="1" applyBorder="1" applyAlignment="1">
      <alignment horizontal="center" vertical="center"/>
    </xf>
    <xf numFmtId="0" fontId="7" fillId="9" borderId="3" xfId="0" applyFont="1" applyFill="1" applyBorder="1" applyAlignment="1">
      <alignment wrapText="1"/>
    </xf>
    <xf numFmtId="0" fontId="0" fillId="2" borderId="1" xfId="0" applyFill="1" applyBorder="1" applyAlignment="1">
      <alignment horizontal="center" vertical="center"/>
    </xf>
    <xf numFmtId="0" fontId="5" fillId="2" borderId="0" xfId="0" applyFont="1" applyFill="1"/>
    <xf numFmtId="0" fontId="8" fillId="2" borderId="0" xfId="0" applyFont="1" applyFill="1" applyAlignment="1">
      <alignment horizontal="center" wrapText="1"/>
    </xf>
    <xf numFmtId="0" fontId="0" fillId="11" borderId="1" xfId="0" applyFill="1" applyBorder="1" applyAlignment="1">
      <alignment horizontal="center"/>
    </xf>
    <xf numFmtId="0" fontId="1" fillId="7" borderId="1" xfId="0" applyFont="1" applyFill="1" applyBorder="1" applyAlignment="1">
      <alignment horizontal="center"/>
    </xf>
    <xf numFmtId="0" fontId="1" fillId="12" borderId="1" xfId="0" applyFont="1" applyFill="1" applyBorder="1" applyAlignment="1">
      <alignment horizontal="center"/>
    </xf>
    <xf numFmtId="16" fontId="0" fillId="10" borderId="1" xfId="0" applyNumberFormat="1" applyFill="1" applyBorder="1" applyAlignment="1" applyProtection="1">
      <alignment horizontal="center"/>
      <protection locked="0"/>
    </xf>
    <xf numFmtId="0" fontId="16" fillId="2" borderId="3" xfId="0" applyFont="1" applyFill="1" applyBorder="1" applyAlignment="1">
      <alignment horizontal="left" vertical="center" wrapText="1"/>
    </xf>
    <xf numFmtId="0" fontId="16" fillId="2" borderId="2" xfId="0" applyFont="1" applyFill="1" applyBorder="1" applyAlignment="1">
      <alignment horizontal="left" vertical="center"/>
    </xf>
    <xf numFmtId="0" fontId="16" fillId="2" borderId="4" xfId="0" applyFont="1" applyFill="1" applyBorder="1" applyAlignment="1">
      <alignment horizontal="left" vertical="center"/>
    </xf>
    <xf numFmtId="0" fontId="25" fillId="4" borderId="1" xfId="0" applyFont="1" applyFill="1" applyBorder="1" applyAlignment="1">
      <alignment horizontal="center"/>
    </xf>
    <xf numFmtId="0" fontId="23" fillId="4" borderId="1" xfId="0" applyFont="1" applyFill="1" applyBorder="1" applyAlignment="1">
      <alignment horizontal="center"/>
    </xf>
    <xf numFmtId="0" fontId="19" fillId="3" borderId="1" xfId="0" applyFont="1" applyFill="1" applyBorder="1" applyAlignment="1">
      <alignment horizontal="center"/>
    </xf>
    <xf numFmtId="0" fontId="19" fillId="3" borderId="3" xfId="0" applyFont="1" applyFill="1" applyBorder="1" applyAlignment="1">
      <alignment horizontal="center"/>
    </xf>
    <xf numFmtId="0" fontId="19" fillId="3" borderId="2" xfId="0" applyFont="1" applyFill="1" applyBorder="1" applyAlignment="1">
      <alignment horizontal="center"/>
    </xf>
    <xf numFmtId="0" fontId="19" fillId="3" borderId="4" xfId="0" applyFont="1" applyFill="1" applyBorder="1" applyAlignment="1">
      <alignment horizontal="center"/>
    </xf>
    <xf numFmtId="0" fontId="20" fillId="7" borderId="1" xfId="0" applyFont="1" applyFill="1" applyBorder="1" applyAlignment="1">
      <alignment horizontal="center" vertical="center"/>
    </xf>
    <xf numFmtId="0" fontId="20" fillId="10" borderId="1" xfId="0" applyFont="1" applyFill="1" applyBorder="1" applyAlignment="1">
      <alignment horizontal="center" vertical="center"/>
    </xf>
    <xf numFmtId="0" fontId="4" fillId="4" borderId="1" xfId="0" applyFont="1" applyFill="1" applyBorder="1" applyAlignment="1">
      <alignment horizont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22" fillId="2" borderId="1" xfId="0" applyFont="1" applyFill="1" applyBorder="1" applyAlignment="1">
      <alignment horizontal="left" vertical="center" wrapText="1"/>
    </xf>
    <xf numFmtId="0" fontId="22" fillId="2" borderId="1" xfId="0" applyFont="1" applyFill="1" applyBorder="1" applyAlignment="1">
      <alignment horizontal="left" vertical="center"/>
    </xf>
    <xf numFmtId="0" fontId="9" fillId="4" borderId="6" xfId="0" applyFont="1" applyFill="1" applyBorder="1" applyAlignment="1">
      <alignment horizontal="center"/>
    </xf>
    <xf numFmtId="0" fontId="9" fillId="2" borderId="1" xfId="0" applyFont="1" applyFill="1" applyBorder="1" applyAlignment="1" applyProtection="1">
      <alignment horizontal="center"/>
      <protection locked="0"/>
    </xf>
    <xf numFmtId="0" fontId="0" fillId="2" borderId="1" xfId="0" applyFill="1" applyBorder="1" applyAlignment="1" applyProtection="1">
      <alignment horizontal="center"/>
      <protection locked="0"/>
    </xf>
    <xf numFmtId="0" fontId="9" fillId="4" borderId="1" xfId="0" applyFont="1" applyFill="1" applyBorder="1" applyAlignment="1">
      <alignment horizontal="center"/>
    </xf>
    <xf numFmtId="0" fontId="7" fillId="0" borderId="1" xfId="0" applyFont="1" applyBorder="1" applyAlignment="1">
      <alignment horizontal="left" wrapText="1"/>
    </xf>
    <xf numFmtId="0" fontId="7" fillId="0" borderId="1" xfId="0" applyFont="1" applyBorder="1" applyAlignment="1">
      <alignment horizontal="left" vertical="center" wrapText="1"/>
    </xf>
    <xf numFmtId="0" fontId="11" fillId="4" borderId="1" xfId="0" applyFont="1" applyFill="1" applyBorder="1" applyAlignment="1">
      <alignment horizontal="center"/>
    </xf>
    <xf numFmtId="0" fontId="9" fillId="2" borderId="8" xfId="0" applyFont="1" applyFill="1" applyBorder="1" applyAlignment="1" applyProtection="1">
      <alignment horizontal="center"/>
      <protection locked="0"/>
    </xf>
    <xf numFmtId="0" fontId="9" fillId="2" borderId="7" xfId="0"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colors>
    <mruColors>
      <color rgb="FFFFE593"/>
      <color rgb="FFFF9933"/>
      <color rgb="FFE6F0FA"/>
      <color rgb="FFE7F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337E-69C5-4532-897B-BD2E5E99E5AB}">
  <dimension ref="A1:I98"/>
  <sheetViews>
    <sheetView zoomScale="90" zoomScaleNormal="90" workbookViewId="0">
      <pane ySplit="4" topLeftCell="A5" activePane="bottomLeft" state="frozen"/>
      <selection pane="bottomLeft" activeCell="C4" sqref="C4"/>
    </sheetView>
  </sheetViews>
  <sheetFormatPr defaultRowHeight="13.2" x14ac:dyDescent="0.25"/>
  <cols>
    <col min="1" max="1" width="3.3984375" style="6" customWidth="1"/>
    <col min="2" max="2" width="11.5" style="5" customWidth="1"/>
    <col min="3" max="3" width="92.5" style="3" customWidth="1"/>
    <col min="4" max="8" width="12.09765625" style="6" customWidth="1"/>
    <col min="9" max="9" width="14.69921875" style="7" customWidth="1"/>
    <col min="10" max="16384" width="8.796875" style="2"/>
  </cols>
  <sheetData>
    <row r="1" spans="1:9" ht="136.19999999999999" customHeight="1" x14ac:dyDescent="0.25">
      <c r="A1" s="64" t="s">
        <v>107</v>
      </c>
      <c r="B1" s="65"/>
      <c r="C1" s="65"/>
      <c r="D1" s="65"/>
      <c r="E1" s="65"/>
      <c r="F1" s="65"/>
      <c r="G1" s="65"/>
      <c r="H1" s="65"/>
      <c r="I1" s="66"/>
    </row>
    <row r="2" spans="1:9" ht="15.6" x14ac:dyDescent="0.3">
      <c r="A2" s="67" t="s">
        <v>105</v>
      </c>
      <c r="B2" s="68"/>
      <c r="C2" s="68"/>
      <c r="D2" s="68"/>
      <c r="E2" s="68"/>
      <c r="F2" s="68"/>
      <c r="G2" s="68"/>
      <c r="H2" s="68"/>
      <c r="I2" s="68"/>
    </row>
    <row r="3" spans="1:9" ht="15.6" customHeight="1" x14ac:dyDescent="0.25">
      <c r="A3" s="74" t="s">
        <v>4</v>
      </c>
      <c r="B3" s="74"/>
      <c r="C3" s="74"/>
      <c r="D3" s="73" t="s">
        <v>61</v>
      </c>
      <c r="E3" s="73"/>
      <c r="F3" s="73"/>
      <c r="G3" s="73"/>
      <c r="H3" s="73"/>
      <c r="I3" s="73"/>
    </row>
    <row r="4" spans="1:9" ht="36" customHeight="1" x14ac:dyDescent="0.25">
      <c r="A4" s="26" t="s">
        <v>2</v>
      </c>
      <c r="B4" s="26" t="s">
        <v>3</v>
      </c>
      <c r="C4" s="26" t="s">
        <v>0</v>
      </c>
      <c r="D4" s="27" t="s">
        <v>62</v>
      </c>
      <c r="E4" s="27" t="s">
        <v>63</v>
      </c>
      <c r="F4" s="27" t="s">
        <v>64</v>
      </c>
      <c r="G4" s="27" t="s">
        <v>65</v>
      </c>
      <c r="H4" s="28" t="s">
        <v>66</v>
      </c>
      <c r="I4" s="28" t="s">
        <v>67</v>
      </c>
    </row>
    <row r="5" spans="1:9" x14ac:dyDescent="0.25">
      <c r="A5" s="69" t="s">
        <v>1</v>
      </c>
      <c r="B5" s="69"/>
      <c r="C5" s="69"/>
      <c r="D5" s="69"/>
      <c r="E5" s="69"/>
      <c r="F5" s="69"/>
      <c r="G5" s="69"/>
      <c r="H5" s="69"/>
      <c r="I5" s="69"/>
    </row>
    <row r="6" spans="1:9" ht="20.399999999999999" x14ac:dyDescent="0.25">
      <c r="A6" s="25">
        <v>1</v>
      </c>
      <c r="B6" s="25" t="s">
        <v>7</v>
      </c>
      <c r="C6" s="24" t="s">
        <v>26</v>
      </c>
      <c r="D6" s="20"/>
      <c r="E6" s="20"/>
      <c r="F6" s="20"/>
      <c r="G6" s="20"/>
      <c r="H6" s="21" t="str">
        <f>IF(COUNTIF(D6:G6, "Must have")&gt;0, "Must have",
    IF(COUNTIF(D6:G6, "Should have")&gt;0, "Should have",
    IF(COUNTIF(D6:G6, "Could have")&gt;0, "Could have",
    IF(COUNTIF(D6:G6, "Won’t have")&gt;0, "Won’t have", "-"))))</f>
        <v>-</v>
      </c>
      <c r="I6" s="22" t="str">
        <f t="shared" ref="I6:I13" si="0">IF(OR(ISNUMBER(SEARCH("Must have",H6)),ISNUMBER(SEARCH("Should have",H6))),B6,"")</f>
        <v/>
      </c>
    </row>
    <row r="7" spans="1:9" ht="30.6" x14ac:dyDescent="0.25">
      <c r="A7" s="23">
        <v>2</v>
      </c>
      <c r="B7" s="23" t="s">
        <v>8</v>
      </c>
      <c r="C7" s="24" t="s">
        <v>27</v>
      </c>
      <c r="D7" s="20"/>
      <c r="E7" s="20"/>
      <c r="F7" s="20"/>
      <c r="G7" s="20"/>
      <c r="H7" s="21" t="str">
        <f t="shared" ref="H7:H12" si="1">IF(COUNTIF(D7:G7, "Must have")&gt;0, "Must have",
    IF(COUNTIF(D7:G7, "Should have")&gt;0, "Should have",
    IF(COUNTIF(D7:G7, "Could have")&gt;0, "Could have",
    IF(COUNTIF(D7:G7, "Won’t have")&gt;0, "Won’t have", "-"))))</f>
        <v>-</v>
      </c>
      <c r="I7" s="22" t="str">
        <f t="shared" si="0"/>
        <v/>
      </c>
    </row>
    <row r="8" spans="1:9" ht="30.6" x14ac:dyDescent="0.25">
      <c r="A8" s="23">
        <v>3</v>
      </c>
      <c r="B8" s="23" t="s">
        <v>28</v>
      </c>
      <c r="C8" s="24" t="s">
        <v>29</v>
      </c>
      <c r="D8" s="20"/>
      <c r="E8" s="20"/>
      <c r="F8" s="20"/>
      <c r="G8" s="20"/>
      <c r="H8" s="21" t="str">
        <f t="shared" si="1"/>
        <v>-</v>
      </c>
      <c r="I8" s="22" t="str">
        <f t="shared" si="0"/>
        <v/>
      </c>
    </row>
    <row r="9" spans="1:9" ht="20.399999999999999" x14ac:dyDescent="0.25">
      <c r="A9" s="23">
        <v>4</v>
      </c>
      <c r="B9" s="23" t="s">
        <v>9</v>
      </c>
      <c r="C9" s="24" t="s">
        <v>30</v>
      </c>
      <c r="D9" s="20"/>
      <c r="E9" s="20"/>
      <c r="F9" s="20"/>
      <c r="G9" s="20"/>
      <c r="H9" s="21" t="str">
        <f t="shared" si="1"/>
        <v>-</v>
      </c>
      <c r="I9" s="22" t="str">
        <f t="shared" si="0"/>
        <v/>
      </c>
    </row>
    <row r="10" spans="1:9" ht="40.799999999999997" x14ac:dyDescent="0.25">
      <c r="A10" s="23">
        <v>5</v>
      </c>
      <c r="B10" s="23" t="s">
        <v>10</v>
      </c>
      <c r="C10" s="24" t="s">
        <v>31</v>
      </c>
      <c r="D10" s="20"/>
      <c r="E10" s="20"/>
      <c r="F10" s="20"/>
      <c r="G10" s="20"/>
      <c r="H10" s="21" t="str">
        <f t="shared" si="1"/>
        <v>-</v>
      </c>
      <c r="I10" s="22" t="str">
        <f t="shared" si="0"/>
        <v/>
      </c>
    </row>
    <row r="11" spans="1:9" ht="30.6" x14ac:dyDescent="0.25">
      <c r="A11" s="23">
        <v>6</v>
      </c>
      <c r="B11" s="23" t="s">
        <v>11</v>
      </c>
      <c r="C11" s="24" t="s">
        <v>32</v>
      </c>
      <c r="D11" s="20"/>
      <c r="E11" s="20"/>
      <c r="F11" s="20"/>
      <c r="G11" s="20"/>
      <c r="H11" s="21" t="str">
        <f t="shared" si="1"/>
        <v>-</v>
      </c>
      <c r="I11" s="22" t="str">
        <f t="shared" si="0"/>
        <v/>
      </c>
    </row>
    <row r="12" spans="1:9" ht="20.399999999999999" x14ac:dyDescent="0.25">
      <c r="A12" s="23">
        <v>7</v>
      </c>
      <c r="B12" s="23" t="s">
        <v>33</v>
      </c>
      <c r="C12" s="24" t="s">
        <v>34</v>
      </c>
      <c r="D12" s="20"/>
      <c r="E12" s="20"/>
      <c r="F12" s="20"/>
      <c r="G12" s="20"/>
      <c r="H12" s="21" t="str">
        <f t="shared" si="1"/>
        <v>-</v>
      </c>
      <c r="I12" s="22" t="str">
        <f t="shared" si="0"/>
        <v/>
      </c>
    </row>
    <row r="13" spans="1:9" ht="40.799999999999997" x14ac:dyDescent="0.25">
      <c r="A13" s="23">
        <v>8</v>
      </c>
      <c r="B13" s="23" t="s">
        <v>12</v>
      </c>
      <c r="C13" s="24" t="s">
        <v>35</v>
      </c>
      <c r="D13" s="20"/>
      <c r="E13" s="20"/>
      <c r="F13" s="20"/>
      <c r="G13" s="20"/>
      <c r="H13" s="21" t="str">
        <f>IF(COUNTIF(D13:G13, "Must have")&gt;0, "Must have",
    IF(COUNTIF(D13:G13, "Should have")&gt;0, "Should have",
    IF(COUNTIF(D13:G13, "Could have")&gt;0, "Could have",
    IF(COUNTIF(D13:G13, "Won’t have")&gt;0, "Won’t have", "-"))))</f>
        <v>-</v>
      </c>
      <c r="I13" s="22" t="str">
        <f t="shared" si="0"/>
        <v/>
      </c>
    </row>
    <row r="14" spans="1:9" ht="16.2" customHeight="1" x14ac:dyDescent="0.25">
      <c r="A14" s="70" t="s">
        <v>5</v>
      </c>
      <c r="B14" s="71"/>
      <c r="C14" s="71"/>
      <c r="D14" s="71"/>
      <c r="E14" s="71"/>
      <c r="F14" s="71"/>
      <c r="G14" s="71"/>
      <c r="H14" s="71"/>
      <c r="I14" s="72"/>
    </row>
    <row r="15" spans="1:9" x14ac:dyDescent="0.25">
      <c r="A15" s="23">
        <v>9</v>
      </c>
      <c r="B15" s="23" t="s">
        <v>13</v>
      </c>
      <c r="C15" s="24" t="s">
        <v>36</v>
      </c>
      <c r="D15" s="20"/>
      <c r="E15" s="20"/>
      <c r="F15" s="20"/>
      <c r="G15" s="20"/>
      <c r="H15" s="21" t="str">
        <f>IF(COUNTIF(D15:G15, "Must have")&gt;0, "Must have",
    IF(COUNTIF(D15:G15, "Should have")&gt;0, "Should have",
    IF(COUNTIF(D15:G15, "Could have")&gt;0, "Could have",
    IF(COUNTIF(D15:G15, "Won’t have")&gt;0, "Won’t have", "-"))))</f>
        <v>-</v>
      </c>
      <c r="I15" s="22" t="str">
        <f t="shared" ref="I15:I30" si="2">IF(OR(ISNUMBER(SEARCH("Must have",H15)),ISNUMBER(SEARCH("Should have",H15))),B15,"")</f>
        <v/>
      </c>
    </row>
    <row r="16" spans="1:9" x14ac:dyDescent="0.25">
      <c r="A16" s="23">
        <v>10</v>
      </c>
      <c r="B16" s="23" t="s">
        <v>14</v>
      </c>
      <c r="C16" s="24" t="s">
        <v>37</v>
      </c>
      <c r="D16" s="20"/>
      <c r="E16" s="20"/>
      <c r="F16" s="20"/>
      <c r="G16" s="20"/>
      <c r="H16" s="21" t="str">
        <f t="shared" ref="H16:H29" si="3">IF(COUNTIF(D16:G16, "Must have")&gt;0, "Must have",
    IF(COUNTIF(D16:G16, "Should have")&gt;0, "Should have",
    IF(COUNTIF(D16:G16, "Could have")&gt;0, "Could have",
    IF(COUNTIF(D16:G16, "Won’t have")&gt;0, "Won’t have", "-"))))</f>
        <v>-</v>
      </c>
      <c r="I16" s="22" t="str">
        <f t="shared" si="2"/>
        <v/>
      </c>
    </row>
    <row r="17" spans="1:9" ht="20.399999999999999" x14ac:dyDescent="0.25">
      <c r="A17" s="23">
        <v>11</v>
      </c>
      <c r="B17" s="23" t="s">
        <v>15</v>
      </c>
      <c r="C17" s="24" t="s">
        <v>38</v>
      </c>
      <c r="D17" s="20"/>
      <c r="E17" s="20"/>
      <c r="F17" s="20"/>
      <c r="G17" s="20"/>
      <c r="H17" s="21" t="str">
        <f t="shared" si="3"/>
        <v>-</v>
      </c>
      <c r="I17" s="22" t="str">
        <f t="shared" si="2"/>
        <v/>
      </c>
    </row>
    <row r="18" spans="1:9" ht="39.6" x14ac:dyDescent="0.25">
      <c r="A18" s="23">
        <v>12</v>
      </c>
      <c r="B18" s="23" t="s">
        <v>39</v>
      </c>
      <c r="C18" s="24" t="s">
        <v>40</v>
      </c>
      <c r="D18" s="20"/>
      <c r="E18" s="20"/>
      <c r="F18" s="20"/>
      <c r="G18" s="20"/>
      <c r="H18" s="21" t="str">
        <f t="shared" si="3"/>
        <v>-</v>
      </c>
      <c r="I18" s="22" t="str">
        <f t="shared" si="2"/>
        <v/>
      </c>
    </row>
    <row r="19" spans="1:9" ht="20.399999999999999" x14ac:dyDescent="0.25">
      <c r="A19" s="23">
        <v>13</v>
      </c>
      <c r="B19" s="23" t="s">
        <v>16</v>
      </c>
      <c r="C19" s="24" t="s">
        <v>41</v>
      </c>
      <c r="D19" s="20"/>
      <c r="E19" s="20"/>
      <c r="F19" s="20"/>
      <c r="G19" s="20"/>
      <c r="H19" s="21" t="str">
        <f t="shared" si="3"/>
        <v>-</v>
      </c>
      <c r="I19" s="22" t="str">
        <f t="shared" si="2"/>
        <v/>
      </c>
    </row>
    <row r="20" spans="1:9" x14ac:dyDescent="0.25">
      <c r="A20" s="23">
        <v>14</v>
      </c>
      <c r="B20" s="23" t="s">
        <v>17</v>
      </c>
      <c r="C20" s="24" t="s">
        <v>42</v>
      </c>
      <c r="D20" s="20"/>
      <c r="E20" s="20"/>
      <c r="F20" s="20"/>
      <c r="G20" s="20"/>
      <c r="H20" s="21" t="str">
        <f t="shared" si="3"/>
        <v>-</v>
      </c>
      <c r="I20" s="22" t="str">
        <f t="shared" si="2"/>
        <v/>
      </c>
    </row>
    <row r="21" spans="1:9" ht="20.399999999999999" x14ac:dyDescent="0.25">
      <c r="A21" s="23">
        <v>15</v>
      </c>
      <c r="B21" s="23" t="s">
        <v>43</v>
      </c>
      <c r="C21" s="24" t="s">
        <v>44</v>
      </c>
      <c r="D21" s="20"/>
      <c r="E21" s="20"/>
      <c r="F21" s="20"/>
      <c r="G21" s="20"/>
      <c r="H21" s="21" t="str">
        <f t="shared" si="3"/>
        <v>-</v>
      </c>
      <c r="I21" s="22" t="str">
        <f t="shared" si="2"/>
        <v/>
      </c>
    </row>
    <row r="22" spans="1:9" x14ac:dyDescent="0.25">
      <c r="A22" s="23">
        <v>16</v>
      </c>
      <c r="B22" s="23" t="s">
        <v>18</v>
      </c>
      <c r="C22" s="24" t="s">
        <v>45</v>
      </c>
      <c r="D22" s="20"/>
      <c r="E22" s="20"/>
      <c r="F22" s="20"/>
      <c r="G22" s="20"/>
      <c r="H22" s="21" t="str">
        <f t="shared" si="3"/>
        <v>-</v>
      </c>
      <c r="I22" s="22" t="str">
        <f t="shared" si="2"/>
        <v/>
      </c>
    </row>
    <row r="23" spans="1:9" ht="20.399999999999999" x14ac:dyDescent="0.25">
      <c r="A23" s="23">
        <v>17</v>
      </c>
      <c r="B23" s="23" t="s">
        <v>19</v>
      </c>
      <c r="C23" s="24" t="s">
        <v>46</v>
      </c>
      <c r="D23" s="20"/>
      <c r="E23" s="20"/>
      <c r="F23" s="20"/>
      <c r="G23" s="20"/>
      <c r="H23" s="21" t="str">
        <f t="shared" si="3"/>
        <v>-</v>
      </c>
      <c r="I23" s="22" t="str">
        <f t="shared" si="2"/>
        <v/>
      </c>
    </row>
    <row r="24" spans="1:9" x14ac:dyDescent="0.25">
      <c r="A24" s="23">
        <v>18</v>
      </c>
      <c r="B24" s="23" t="s">
        <v>20</v>
      </c>
      <c r="C24" s="24" t="s">
        <v>47</v>
      </c>
      <c r="D24" s="20"/>
      <c r="E24" s="20"/>
      <c r="F24" s="20"/>
      <c r="G24" s="20"/>
      <c r="H24" s="21" t="str">
        <f t="shared" si="3"/>
        <v>-</v>
      </c>
      <c r="I24" s="22" t="str">
        <f t="shared" si="2"/>
        <v/>
      </c>
    </row>
    <row r="25" spans="1:9" x14ac:dyDescent="0.25">
      <c r="A25" s="23">
        <v>19</v>
      </c>
      <c r="B25" s="23" t="s">
        <v>21</v>
      </c>
      <c r="C25" s="24" t="s">
        <v>48</v>
      </c>
      <c r="D25" s="20"/>
      <c r="E25" s="20"/>
      <c r="F25" s="20"/>
      <c r="G25" s="20"/>
      <c r="H25" s="21" t="str">
        <f t="shared" si="3"/>
        <v>-</v>
      </c>
      <c r="I25" s="22" t="str">
        <f t="shared" si="2"/>
        <v/>
      </c>
    </row>
    <row r="26" spans="1:9" x14ac:dyDescent="0.25">
      <c r="A26" s="23">
        <v>20</v>
      </c>
      <c r="B26" s="23" t="s">
        <v>22</v>
      </c>
      <c r="C26" s="24" t="s">
        <v>49</v>
      </c>
      <c r="D26" s="20"/>
      <c r="E26" s="20"/>
      <c r="F26" s="20"/>
      <c r="G26" s="20"/>
      <c r="H26" s="21" t="str">
        <f t="shared" si="3"/>
        <v>-</v>
      </c>
      <c r="I26" s="22" t="str">
        <f t="shared" si="2"/>
        <v/>
      </c>
    </row>
    <row r="27" spans="1:9" ht="61.2" customHeight="1" x14ac:dyDescent="0.25">
      <c r="A27" s="23">
        <v>21</v>
      </c>
      <c r="B27" s="23" t="s">
        <v>23</v>
      </c>
      <c r="C27" s="24" t="s">
        <v>50</v>
      </c>
      <c r="D27" s="20"/>
      <c r="E27" s="20"/>
      <c r="F27" s="20"/>
      <c r="G27" s="20"/>
      <c r="H27" s="21" t="str">
        <f t="shared" si="3"/>
        <v>-</v>
      </c>
      <c r="I27" s="22" t="str">
        <f t="shared" si="2"/>
        <v/>
      </c>
    </row>
    <row r="28" spans="1:9" ht="20.399999999999999" x14ac:dyDescent="0.25">
      <c r="A28" s="23">
        <v>22</v>
      </c>
      <c r="B28" s="23" t="s">
        <v>24</v>
      </c>
      <c r="C28" s="24" t="s">
        <v>51</v>
      </c>
      <c r="D28" s="20"/>
      <c r="E28" s="20"/>
      <c r="F28" s="20"/>
      <c r="G28" s="20"/>
      <c r="H28" s="21" t="str">
        <f t="shared" si="3"/>
        <v>-</v>
      </c>
      <c r="I28" s="22" t="str">
        <f t="shared" si="2"/>
        <v/>
      </c>
    </row>
    <row r="29" spans="1:9" ht="20.399999999999999" x14ac:dyDescent="0.25">
      <c r="A29" s="23">
        <v>23</v>
      </c>
      <c r="B29" s="23" t="s">
        <v>52</v>
      </c>
      <c r="C29" s="24" t="s">
        <v>53</v>
      </c>
      <c r="D29" s="20"/>
      <c r="E29" s="20"/>
      <c r="F29" s="20"/>
      <c r="G29" s="20"/>
      <c r="H29" s="21" t="str">
        <f t="shared" si="3"/>
        <v>-</v>
      </c>
      <c r="I29" s="22" t="str">
        <f t="shared" si="2"/>
        <v/>
      </c>
    </row>
    <row r="30" spans="1:9" ht="30.6" x14ac:dyDescent="0.25">
      <c r="A30" s="23">
        <v>24</v>
      </c>
      <c r="B30" s="23" t="s">
        <v>54</v>
      </c>
      <c r="C30" s="24" t="s">
        <v>55</v>
      </c>
      <c r="D30" s="20"/>
      <c r="E30" s="20"/>
      <c r="F30" s="20"/>
      <c r="G30" s="20"/>
      <c r="H30" s="21" t="str">
        <f>IF(COUNTIF(D30:G30, "Must have")&gt;0, "Must have",
    IF(COUNTIF(D30:G30, "Should have")&gt;0, "Should have",
    IF(COUNTIF(D30:G30, "Could have")&gt;0, "Could have",
    IF(COUNTIF(D30:G30, "Won’t have")&gt;0, "Won’t have", "-"))))</f>
        <v>-</v>
      </c>
      <c r="I30" s="22" t="str">
        <f t="shared" si="2"/>
        <v/>
      </c>
    </row>
    <row r="31" spans="1:9" x14ac:dyDescent="0.25">
      <c r="A31" s="70" t="s">
        <v>6</v>
      </c>
      <c r="B31" s="71"/>
      <c r="C31" s="71"/>
      <c r="D31" s="71"/>
      <c r="E31" s="71"/>
      <c r="F31" s="71"/>
      <c r="G31" s="71"/>
      <c r="H31" s="71"/>
      <c r="I31" s="72"/>
    </row>
    <row r="32" spans="1:9" ht="30.6" x14ac:dyDescent="0.25">
      <c r="A32" s="23">
        <v>25</v>
      </c>
      <c r="B32" s="23" t="s">
        <v>25</v>
      </c>
      <c r="C32" s="24" t="s">
        <v>56</v>
      </c>
      <c r="D32" s="20"/>
      <c r="E32" s="20"/>
      <c r="F32" s="20"/>
      <c r="G32" s="20"/>
      <c r="H32" s="21" t="str">
        <f>IF(COUNTIF(D32:G32, "Must have")&gt;0, "Must have",
    IF(COUNTIF(D32:G32, "Should have")&gt;0, "Should have",
    IF(COUNTIF(D32:G32, "Could have")&gt;0, "Could have",
    IF(COUNTIF(D32:G32, "Won’t have")&gt;0, "Won’t have", "-"))))</f>
        <v>-</v>
      </c>
      <c r="I32" s="22" t="str">
        <f>IF(OR(ISNUMBER(SEARCH("Must have",H32)),ISNUMBER(SEARCH("Should have",H32))),B32,"")</f>
        <v/>
      </c>
    </row>
    <row r="33" spans="1:9" ht="20.399999999999999" x14ac:dyDescent="0.25">
      <c r="A33" s="23">
        <v>26</v>
      </c>
      <c r="B33" s="23" t="s">
        <v>57</v>
      </c>
      <c r="C33" s="24" t="s">
        <v>58</v>
      </c>
      <c r="D33" s="20"/>
      <c r="E33" s="20"/>
      <c r="F33" s="20"/>
      <c r="G33" s="20"/>
      <c r="H33" s="21" t="str">
        <f t="shared" ref="H33:H34" si="4">IF(COUNTIF(D33:G33, "Must have")&gt;0, "Must have",
    IF(COUNTIF(D33:G33, "Should have")&gt;0, "Should have",
    IF(COUNTIF(D33:G33, "Could have")&gt;0, "Could have",
    IF(COUNTIF(D33:G33, "Won’t have")&gt;0, "Won’t have", "-"))))</f>
        <v>-</v>
      </c>
      <c r="I33" s="22" t="str">
        <f>IF(OR(ISNUMBER(SEARCH("Must have",H33)),ISNUMBER(SEARCH("Should have",H33))),B33,"")</f>
        <v/>
      </c>
    </row>
    <row r="34" spans="1:9" ht="20.399999999999999" x14ac:dyDescent="0.25">
      <c r="A34" s="23">
        <v>27</v>
      </c>
      <c r="B34" s="23" t="s">
        <v>59</v>
      </c>
      <c r="C34" s="24" t="s">
        <v>60</v>
      </c>
      <c r="D34" s="20"/>
      <c r="E34" s="20"/>
      <c r="F34" s="20"/>
      <c r="G34" s="20"/>
      <c r="H34" s="21" t="str">
        <f t="shared" si="4"/>
        <v>-</v>
      </c>
      <c r="I34" s="22" t="str">
        <f>IF(OR(ISNUMBER(SEARCH("Must have",H34)),ISNUMBER(SEARCH("Should have",H34))),B34,"")</f>
        <v/>
      </c>
    </row>
    <row r="35" spans="1:9" x14ac:dyDescent="0.25">
      <c r="A35" s="16"/>
      <c r="B35" s="17"/>
      <c r="C35" s="18"/>
      <c r="D35" s="16"/>
      <c r="E35" s="16"/>
      <c r="F35" s="16"/>
      <c r="G35" s="16"/>
      <c r="H35" s="16"/>
      <c r="I35" s="19"/>
    </row>
    <row r="36" spans="1:9" x14ac:dyDescent="0.25">
      <c r="A36" s="16"/>
      <c r="B36" s="17"/>
      <c r="C36" s="18"/>
      <c r="D36" s="16"/>
      <c r="E36" s="16"/>
      <c r="F36" s="16"/>
      <c r="G36" s="16"/>
      <c r="H36" s="16"/>
      <c r="I36" s="19"/>
    </row>
    <row r="37" spans="1:9" x14ac:dyDescent="0.25">
      <c r="A37" s="16"/>
      <c r="B37" s="17"/>
      <c r="C37" s="18"/>
      <c r="D37" s="16"/>
      <c r="E37" s="16"/>
      <c r="F37" s="16"/>
      <c r="G37" s="16"/>
      <c r="H37" s="16"/>
      <c r="I37" s="19"/>
    </row>
    <row r="38" spans="1:9" x14ac:dyDescent="0.25">
      <c r="A38" s="16"/>
      <c r="B38" s="17"/>
      <c r="C38" s="18"/>
      <c r="D38" s="16"/>
      <c r="E38" s="16"/>
      <c r="F38" s="16"/>
      <c r="G38" s="16"/>
      <c r="H38" s="16"/>
      <c r="I38" s="19"/>
    </row>
    <row r="39" spans="1:9" x14ac:dyDescent="0.25">
      <c r="A39" s="16"/>
      <c r="B39" s="17"/>
      <c r="C39" s="18"/>
      <c r="D39" s="16"/>
      <c r="E39" s="16"/>
      <c r="F39" s="16"/>
      <c r="G39" s="16"/>
      <c r="H39" s="16"/>
      <c r="I39" s="19"/>
    </row>
    <row r="40" spans="1:9" x14ac:dyDescent="0.25">
      <c r="A40" s="16"/>
      <c r="B40" s="17"/>
      <c r="C40" s="18"/>
      <c r="D40" s="16"/>
      <c r="E40" s="16"/>
      <c r="F40" s="16"/>
      <c r="G40" s="16"/>
      <c r="H40" s="16"/>
      <c r="I40" s="19"/>
    </row>
    <row r="41" spans="1:9" x14ac:dyDescent="0.25">
      <c r="A41" s="16"/>
      <c r="B41" s="17"/>
      <c r="C41" s="18"/>
      <c r="D41" s="16"/>
      <c r="E41" s="16"/>
      <c r="F41" s="16"/>
      <c r="G41" s="16"/>
      <c r="H41" s="16"/>
      <c r="I41" s="19"/>
    </row>
    <row r="42" spans="1:9" x14ac:dyDescent="0.25">
      <c r="A42" s="16"/>
      <c r="B42" s="17"/>
      <c r="C42" s="18"/>
      <c r="D42" s="16"/>
      <c r="E42" s="16"/>
      <c r="F42" s="16"/>
      <c r="G42" s="16"/>
      <c r="H42" s="16"/>
      <c r="I42" s="19"/>
    </row>
    <row r="43" spans="1:9" x14ac:dyDescent="0.25">
      <c r="A43" s="16"/>
      <c r="B43" s="17"/>
      <c r="C43" s="18"/>
      <c r="D43" s="16"/>
      <c r="E43" s="16"/>
      <c r="F43" s="16"/>
      <c r="G43" s="16"/>
      <c r="H43" s="16"/>
      <c r="I43" s="19"/>
    </row>
    <row r="44" spans="1:9" x14ac:dyDescent="0.25">
      <c r="A44" s="16"/>
      <c r="B44" s="17"/>
      <c r="C44" s="18"/>
      <c r="D44" s="16"/>
      <c r="E44" s="16"/>
      <c r="F44" s="16"/>
      <c r="G44" s="16"/>
      <c r="H44" s="16"/>
      <c r="I44" s="19"/>
    </row>
    <row r="45" spans="1:9" x14ac:dyDescent="0.25">
      <c r="A45" s="16"/>
      <c r="B45" s="17"/>
      <c r="C45" s="18"/>
      <c r="D45" s="16"/>
      <c r="E45" s="16"/>
      <c r="F45" s="16"/>
      <c r="G45" s="16"/>
      <c r="H45" s="16"/>
      <c r="I45" s="19"/>
    </row>
    <row r="46" spans="1:9" x14ac:dyDescent="0.25">
      <c r="A46" s="16"/>
      <c r="B46" s="17"/>
      <c r="C46" s="18"/>
      <c r="D46" s="16"/>
      <c r="E46" s="16"/>
      <c r="F46" s="16"/>
      <c r="G46" s="16"/>
      <c r="H46" s="16"/>
      <c r="I46" s="19"/>
    </row>
    <row r="47" spans="1:9" x14ac:dyDescent="0.25">
      <c r="A47" s="16"/>
      <c r="B47" s="17"/>
      <c r="C47" s="18"/>
      <c r="D47" s="16"/>
      <c r="E47" s="16"/>
      <c r="F47" s="16"/>
      <c r="G47" s="16"/>
      <c r="H47" s="16"/>
      <c r="I47" s="19"/>
    </row>
    <row r="48" spans="1:9" x14ac:dyDescent="0.25">
      <c r="A48" s="16"/>
      <c r="B48" s="17"/>
      <c r="C48" s="18"/>
      <c r="D48" s="16"/>
      <c r="E48" s="16"/>
      <c r="F48" s="16"/>
      <c r="G48" s="16"/>
      <c r="H48" s="16"/>
      <c r="I48" s="19"/>
    </row>
    <row r="49" spans="1:9" x14ac:dyDescent="0.25">
      <c r="A49" s="16"/>
      <c r="B49" s="17"/>
      <c r="C49" s="18"/>
      <c r="D49" s="16"/>
      <c r="E49" s="16"/>
      <c r="F49" s="16"/>
      <c r="G49" s="16"/>
      <c r="H49" s="16"/>
      <c r="I49" s="19"/>
    </row>
    <row r="50" spans="1:9" x14ac:dyDescent="0.25">
      <c r="A50" s="16"/>
      <c r="B50" s="17"/>
      <c r="C50" s="18"/>
      <c r="D50" s="16"/>
      <c r="E50" s="16"/>
      <c r="F50" s="16"/>
      <c r="G50" s="16"/>
      <c r="H50" s="16"/>
      <c r="I50" s="19"/>
    </row>
    <row r="51" spans="1:9" x14ac:dyDescent="0.25">
      <c r="A51" s="16"/>
      <c r="B51" s="17"/>
      <c r="C51" s="18"/>
      <c r="D51" s="16"/>
      <c r="E51" s="16"/>
      <c r="F51" s="16"/>
      <c r="G51" s="16"/>
      <c r="H51" s="16"/>
      <c r="I51" s="19"/>
    </row>
    <row r="52" spans="1:9" x14ac:dyDescent="0.25">
      <c r="A52" s="16"/>
      <c r="B52" s="17"/>
      <c r="C52" s="18"/>
      <c r="D52" s="16"/>
      <c r="E52" s="16"/>
      <c r="F52" s="16"/>
      <c r="G52" s="16"/>
      <c r="H52" s="16"/>
      <c r="I52" s="19"/>
    </row>
    <row r="53" spans="1:9" x14ac:dyDescent="0.25">
      <c r="A53" s="16"/>
      <c r="B53" s="17"/>
      <c r="C53" s="18"/>
      <c r="D53" s="16"/>
      <c r="E53" s="16"/>
      <c r="F53" s="16"/>
      <c r="G53" s="16"/>
      <c r="H53" s="16"/>
      <c r="I53" s="19"/>
    </row>
    <row r="54" spans="1:9" x14ac:dyDescent="0.25">
      <c r="A54" s="16"/>
      <c r="B54" s="17"/>
      <c r="C54" s="18"/>
      <c r="D54" s="16"/>
      <c r="E54" s="16"/>
      <c r="F54" s="16"/>
      <c r="G54" s="16"/>
      <c r="H54" s="16"/>
      <c r="I54" s="19"/>
    </row>
    <row r="55" spans="1:9" x14ac:dyDescent="0.25">
      <c r="A55" s="16"/>
      <c r="B55" s="17"/>
      <c r="C55" s="18"/>
      <c r="D55" s="16"/>
      <c r="E55" s="16"/>
      <c r="F55" s="16"/>
      <c r="G55" s="16"/>
      <c r="H55" s="16"/>
      <c r="I55" s="19"/>
    </row>
    <row r="56" spans="1:9" x14ac:dyDescent="0.25">
      <c r="A56" s="16"/>
      <c r="B56" s="17"/>
      <c r="C56" s="18"/>
      <c r="D56" s="16"/>
      <c r="E56" s="16"/>
      <c r="F56" s="16"/>
      <c r="G56" s="16"/>
      <c r="H56" s="16"/>
      <c r="I56" s="19"/>
    </row>
    <row r="57" spans="1:9" x14ac:dyDescent="0.25">
      <c r="A57" s="16"/>
      <c r="B57" s="17"/>
      <c r="C57" s="18"/>
      <c r="D57" s="16"/>
      <c r="E57" s="16"/>
      <c r="F57" s="16"/>
      <c r="G57" s="16"/>
      <c r="H57" s="16"/>
      <c r="I57" s="19"/>
    </row>
    <row r="58" spans="1:9" x14ac:dyDescent="0.25">
      <c r="A58" s="16"/>
      <c r="B58" s="17"/>
      <c r="C58" s="18"/>
      <c r="D58" s="16"/>
      <c r="E58" s="16"/>
      <c r="F58" s="16"/>
      <c r="G58" s="16"/>
      <c r="H58" s="16"/>
      <c r="I58" s="19"/>
    </row>
    <row r="59" spans="1:9" x14ac:dyDescent="0.25">
      <c r="A59" s="16"/>
      <c r="B59" s="17"/>
      <c r="C59" s="18"/>
      <c r="D59" s="16"/>
      <c r="E59" s="16"/>
      <c r="F59" s="16"/>
      <c r="G59" s="16"/>
      <c r="H59" s="16"/>
      <c r="I59" s="19"/>
    </row>
    <row r="60" spans="1:9" x14ac:dyDescent="0.25">
      <c r="A60" s="16"/>
      <c r="B60" s="17"/>
      <c r="C60" s="18"/>
      <c r="D60" s="16"/>
      <c r="E60" s="16"/>
      <c r="F60" s="16"/>
      <c r="G60" s="16"/>
      <c r="H60" s="16"/>
      <c r="I60" s="19"/>
    </row>
    <row r="61" spans="1:9" x14ac:dyDescent="0.25">
      <c r="A61" s="16"/>
      <c r="B61" s="17"/>
      <c r="C61" s="18"/>
      <c r="D61" s="16"/>
      <c r="E61" s="16"/>
      <c r="F61" s="16"/>
      <c r="G61" s="16"/>
      <c r="H61" s="16"/>
      <c r="I61" s="19"/>
    </row>
    <row r="62" spans="1:9" x14ac:dyDescent="0.25">
      <c r="A62" s="16"/>
      <c r="B62" s="17"/>
      <c r="C62" s="18"/>
      <c r="D62" s="16"/>
      <c r="E62" s="16"/>
      <c r="F62" s="16"/>
      <c r="G62" s="16"/>
      <c r="H62" s="16"/>
      <c r="I62" s="19"/>
    </row>
    <row r="63" spans="1:9" x14ac:dyDescent="0.25">
      <c r="A63" s="16"/>
      <c r="B63" s="17"/>
      <c r="C63" s="18"/>
      <c r="D63" s="16"/>
      <c r="E63" s="16"/>
      <c r="F63" s="16"/>
      <c r="G63" s="16"/>
      <c r="H63" s="16"/>
      <c r="I63" s="19"/>
    </row>
    <row r="64" spans="1:9" x14ac:dyDescent="0.25">
      <c r="A64" s="16"/>
      <c r="B64" s="17"/>
      <c r="C64" s="18"/>
      <c r="D64" s="16"/>
      <c r="E64" s="16"/>
      <c r="F64" s="16"/>
      <c r="G64" s="16"/>
      <c r="H64" s="16"/>
      <c r="I64" s="19"/>
    </row>
    <row r="65" spans="1:9" x14ac:dyDescent="0.25">
      <c r="A65" s="16"/>
      <c r="B65" s="17"/>
      <c r="C65" s="18"/>
      <c r="D65" s="16"/>
      <c r="E65" s="16"/>
      <c r="F65" s="16"/>
      <c r="G65" s="16"/>
      <c r="H65" s="16"/>
      <c r="I65" s="19"/>
    </row>
    <row r="66" spans="1:9" x14ac:dyDescent="0.25">
      <c r="A66" s="16"/>
      <c r="B66" s="17"/>
      <c r="C66" s="18"/>
      <c r="D66" s="16"/>
      <c r="E66" s="16"/>
      <c r="F66" s="16"/>
      <c r="G66" s="16"/>
      <c r="H66" s="16"/>
      <c r="I66" s="19"/>
    </row>
    <row r="67" spans="1:9" x14ac:dyDescent="0.25">
      <c r="A67" s="16"/>
      <c r="B67" s="17"/>
      <c r="C67" s="18"/>
      <c r="D67" s="16"/>
      <c r="E67" s="16"/>
      <c r="F67" s="16"/>
      <c r="G67" s="16"/>
      <c r="H67" s="16"/>
      <c r="I67" s="19"/>
    </row>
    <row r="68" spans="1:9" x14ac:dyDescent="0.25">
      <c r="A68" s="16"/>
      <c r="B68" s="17"/>
      <c r="C68" s="18"/>
      <c r="D68" s="16"/>
      <c r="E68" s="16"/>
      <c r="F68" s="16"/>
      <c r="G68" s="16"/>
      <c r="H68" s="16"/>
      <c r="I68" s="19"/>
    </row>
    <row r="69" spans="1:9" x14ac:dyDescent="0.25">
      <c r="A69" s="16"/>
      <c r="B69" s="17"/>
      <c r="C69" s="18"/>
      <c r="D69" s="16"/>
      <c r="E69" s="16"/>
      <c r="F69" s="16"/>
      <c r="G69" s="16"/>
      <c r="H69" s="16"/>
      <c r="I69" s="19"/>
    </row>
    <row r="70" spans="1:9" x14ac:dyDescent="0.25">
      <c r="A70" s="16"/>
      <c r="B70" s="17"/>
      <c r="C70" s="18"/>
      <c r="D70" s="16"/>
      <c r="E70" s="16"/>
      <c r="F70" s="16"/>
      <c r="G70" s="16"/>
      <c r="H70" s="16"/>
      <c r="I70" s="19"/>
    </row>
    <row r="71" spans="1:9" x14ac:dyDescent="0.25">
      <c r="A71" s="16"/>
      <c r="B71" s="17"/>
      <c r="C71" s="18"/>
      <c r="D71" s="16"/>
      <c r="E71" s="16"/>
      <c r="F71" s="16"/>
      <c r="G71" s="16"/>
      <c r="H71" s="16"/>
      <c r="I71" s="19"/>
    </row>
    <row r="72" spans="1:9" x14ac:dyDescent="0.25">
      <c r="A72" s="16"/>
      <c r="B72" s="17"/>
      <c r="C72" s="18"/>
      <c r="D72" s="16"/>
      <c r="E72" s="16"/>
      <c r="F72" s="16"/>
      <c r="G72" s="16"/>
      <c r="H72" s="16"/>
      <c r="I72" s="19"/>
    </row>
    <row r="73" spans="1:9" x14ac:dyDescent="0.25">
      <c r="A73" s="16"/>
      <c r="B73" s="17"/>
      <c r="C73" s="18"/>
      <c r="D73" s="16"/>
      <c r="E73" s="16"/>
      <c r="F73" s="16"/>
      <c r="G73" s="16"/>
      <c r="H73" s="16"/>
      <c r="I73" s="19"/>
    </row>
    <row r="74" spans="1:9" x14ac:dyDescent="0.25">
      <c r="A74" s="16"/>
      <c r="B74" s="17"/>
      <c r="C74" s="18"/>
      <c r="D74" s="16"/>
      <c r="E74" s="16"/>
      <c r="F74" s="16"/>
      <c r="G74" s="16"/>
      <c r="H74" s="16"/>
      <c r="I74" s="19"/>
    </row>
    <row r="75" spans="1:9" x14ac:dyDescent="0.25">
      <c r="A75" s="16"/>
      <c r="B75" s="17"/>
      <c r="C75" s="18"/>
      <c r="D75" s="16"/>
      <c r="E75" s="16"/>
      <c r="F75" s="16"/>
      <c r="G75" s="16"/>
      <c r="H75" s="16"/>
      <c r="I75" s="19"/>
    </row>
    <row r="76" spans="1:9" x14ac:dyDescent="0.25">
      <c r="A76" s="16"/>
      <c r="B76" s="17"/>
      <c r="C76" s="18"/>
      <c r="D76" s="16"/>
      <c r="E76" s="16"/>
      <c r="F76" s="16"/>
      <c r="G76" s="16"/>
      <c r="H76" s="16"/>
      <c r="I76" s="19"/>
    </row>
    <row r="77" spans="1:9" x14ac:dyDescent="0.25">
      <c r="A77" s="16"/>
      <c r="B77" s="17"/>
      <c r="C77" s="18"/>
      <c r="D77" s="16"/>
      <c r="E77" s="16"/>
      <c r="F77" s="16"/>
      <c r="G77" s="16"/>
      <c r="H77" s="16"/>
      <c r="I77" s="19"/>
    </row>
    <row r="78" spans="1:9" x14ac:dyDescent="0.25">
      <c r="A78" s="16"/>
      <c r="B78" s="17"/>
      <c r="C78" s="18"/>
      <c r="D78" s="16"/>
      <c r="E78" s="16"/>
      <c r="F78" s="16"/>
      <c r="G78" s="16"/>
      <c r="H78" s="16"/>
      <c r="I78" s="19"/>
    </row>
    <row r="79" spans="1:9" x14ac:dyDescent="0.25">
      <c r="A79" s="16"/>
      <c r="B79" s="17"/>
      <c r="C79" s="18"/>
      <c r="D79" s="16"/>
      <c r="E79" s="16"/>
      <c r="F79" s="16"/>
      <c r="G79" s="16"/>
      <c r="H79" s="16"/>
      <c r="I79" s="19"/>
    </row>
    <row r="80" spans="1:9" x14ac:dyDescent="0.25">
      <c r="A80" s="16"/>
      <c r="B80" s="17"/>
      <c r="C80" s="18"/>
      <c r="D80" s="16"/>
      <c r="E80" s="16"/>
      <c r="F80" s="16"/>
      <c r="G80" s="16"/>
      <c r="H80" s="16"/>
      <c r="I80" s="19"/>
    </row>
    <row r="81" spans="1:9" x14ac:dyDescent="0.25">
      <c r="A81" s="16"/>
      <c r="B81" s="17"/>
      <c r="C81" s="18"/>
      <c r="D81" s="16"/>
      <c r="E81" s="16"/>
      <c r="F81" s="16"/>
      <c r="G81" s="16"/>
      <c r="H81" s="16"/>
      <c r="I81" s="19"/>
    </row>
    <row r="82" spans="1:9" x14ac:dyDescent="0.25">
      <c r="A82" s="16"/>
      <c r="B82" s="17"/>
      <c r="C82" s="18"/>
      <c r="D82" s="16"/>
      <c r="E82" s="16"/>
      <c r="F82" s="16"/>
      <c r="G82" s="16"/>
      <c r="H82" s="16"/>
      <c r="I82" s="19"/>
    </row>
    <row r="83" spans="1:9" x14ac:dyDescent="0.25">
      <c r="A83" s="16"/>
      <c r="B83" s="17"/>
      <c r="C83" s="18"/>
      <c r="D83" s="16"/>
      <c r="E83" s="16"/>
      <c r="F83" s="16"/>
      <c r="G83" s="16"/>
      <c r="H83" s="16"/>
      <c r="I83" s="19"/>
    </row>
    <row r="84" spans="1:9" x14ac:dyDescent="0.25">
      <c r="A84" s="16"/>
      <c r="B84" s="17"/>
      <c r="C84" s="18"/>
      <c r="D84" s="16"/>
      <c r="E84" s="16"/>
      <c r="F84" s="16"/>
      <c r="G84" s="16"/>
      <c r="H84" s="16"/>
      <c r="I84" s="19"/>
    </row>
    <row r="85" spans="1:9" x14ac:dyDescent="0.25">
      <c r="A85" s="16"/>
      <c r="B85" s="17"/>
      <c r="C85" s="18"/>
      <c r="D85" s="16"/>
      <c r="E85" s="16"/>
      <c r="F85" s="16"/>
      <c r="G85" s="16"/>
      <c r="H85" s="16"/>
      <c r="I85" s="19"/>
    </row>
    <row r="86" spans="1:9" x14ac:dyDescent="0.25">
      <c r="A86" s="16"/>
      <c r="B86" s="17"/>
      <c r="C86" s="18"/>
      <c r="D86" s="16"/>
      <c r="E86" s="16"/>
      <c r="F86" s="16"/>
      <c r="G86" s="16"/>
      <c r="H86" s="16"/>
      <c r="I86" s="19"/>
    </row>
    <row r="87" spans="1:9" x14ac:dyDescent="0.25">
      <c r="A87" s="16"/>
      <c r="B87" s="17"/>
      <c r="C87" s="18"/>
      <c r="D87" s="16"/>
      <c r="E87" s="16"/>
      <c r="F87" s="16"/>
      <c r="G87" s="16"/>
      <c r="H87" s="16"/>
      <c r="I87" s="19"/>
    </row>
    <row r="88" spans="1:9" x14ac:dyDescent="0.25">
      <c r="A88" s="16"/>
      <c r="B88" s="17"/>
      <c r="C88" s="18"/>
      <c r="D88" s="16"/>
      <c r="E88" s="16"/>
      <c r="F88" s="16"/>
      <c r="G88" s="16"/>
      <c r="H88" s="16"/>
      <c r="I88" s="19"/>
    </row>
    <row r="89" spans="1:9" x14ac:dyDescent="0.25">
      <c r="A89" s="16"/>
      <c r="B89" s="17"/>
      <c r="C89" s="18"/>
      <c r="D89" s="16"/>
      <c r="E89" s="16"/>
      <c r="F89" s="16"/>
      <c r="G89" s="16"/>
      <c r="H89" s="16"/>
      <c r="I89" s="19"/>
    </row>
    <row r="90" spans="1:9" x14ac:dyDescent="0.25">
      <c r="A90" s="16"/>
      <c r="B90" s="17"/>
      <c r="C90" s="18"/>
      <c r="D90" s="16"/>
      <c r="E90" s="16"/>
      <c r="F90" s="16"/>
      <c r="G90" s="16"/>
      <c r="H90" s="16"/>
      <c r="I90" s="19"/>
    </row>
    <row r="91" spans="1:9" x14ac:dyDescent="0.25">
      <c r="A91" s="16"/>
      <c r="B91" s="17"/>
      <c r="C91" s="18"/>
      <c r="D91" s="16"/>
      <c r="E91" s="16"/>
      <c r="F91" s="16"/>
      <c r="G91" s="16"/>
      <c r="H91" s="16"/>
      <c r="I91" s="19"/>
    </row>
    <row r="92" spans="1:9" x14ac:dyDescent="0.25">
      <c r="A92" s="16"/>
      <c r="B92" s="17"/>
      <c r="C92" s="18"/>
      <c r="D92" s="16"/>
      <c r="E92" s="16"/>
      <c r="F92" s="16"/>
      <c r="G92" s="16"/>
      <c r="H92" s="16"/>
      <c r="I92" s="19"/>
    </row>
    <row r="93" spans="1:9" x14ac:dyDescent="0.25">
      <c r="A93" s="16"/>
      <c r="B93" s="17"/>
      <c r="C93" s="18"/>
      <c r="D93" s="16"/>
      <c r="E93" s="16"/>
      <c r="F93" s="16"/>
      <c r="G93" s="16"/>
      <c r="H93" s="16"/>
      <c r="I93" s="19"/>
    </row>
    <row r="94" spans="1:9" x14ac:dyDescent="0.25">
      <c r="A94" s="16"/>
      <c r="B94" s="17"/>
      <c r="C94" s="18"/>
      <c r="D94" s="16"/>
      <c r="E94" s="16"/>
      <c r="F94" s="16"/>
      <c r="G94" s="16"/>
      <c r="H94" s="16"/>
      <c r="I94" s="19"/>
    </row>
    <row r="95" spans="1:9" x14ac:dyDescent="0.25">
      <c r="A95" s="16"/>
      <c r="B95" s="17"/>
      <c r="C95" s="18"/>
      <c r="D95" s="16"/>
      <c r="E95" s="16"/>
      <c r="F95" s="16"/>
      <c r="G95" s="16"/>
      <c r="H95" s="16"/>
      <c r="I95" s="19"/>
    </row>
    <row r="96" spans="1:9" x14ac:dyDescent="0.25">
      <c r="A96" s="16"/>
      <c r="B96" s="17"/>
      <c r="C96" s="18"/>
      <c r="D96" s="16"/>
      <c r="E96" s="16"/>
      <c r="F96" s="16"/>
      <c r="G96" s="16"/>
      <c r="H96" s="16"/>
      <c r="I96" s="19"/>
    </row>
    <row r="97" spans="1:9" x14ac:dyDescent="0.25">
      <c r="A97" s="16"/>
      <c r="B97" s="17"/>
      <c r="C97" s="18"/>
      <c r="D97" s="16"/>
      <c r="E97" s="16"/>
      <c r="F97" s="16"/>
      <c r="G97" s="16"/>
      <c r="H97" s="16"/>
      <c r="I97" s="19"/>
    </row>
    <row r="98" spans="1:9" x14ac:dyDescent="0.25">
      <c r="A98" s="12"/>
      <c r="B98" s="13"/>
      <c r="C98" s="14"/>
      <c r="D98" s="12"/>
      <c r="E98" s="12"/>
      <c r="F98" s="12"/>
      <c r="G98" s="12"/>
      <c r="H98" s="12"/>
      <c r="I98" s="15"/>
    </row>
  </sheetData>
  <sheetProtection algorithmName="SHA-512" hashValue="zOcDKId9JH425hEmRU8L5CkBOSDSApeB8hh8U9w790r3meDUJgbYYWg6E5d3Ao0LxiaqepM8Gyw0NOBbvfETxA==" saltValue="HiEQYZkT66yW2tnPq67KqA==" spinCount="100000" sheet="1" objects="1" scenarios="1"/>
  <mergeCells count="7">
    <mergeCell ref="A1:I1"/>
    <mergeCell ref="A2:I2"/>
    <mergeCell ref="A5:I5"/>
    <mergeCell ref="A14:I14"/>
    <mergeCell ref="A31:I31"/>
    <mergeCell ref="D3:I3"/>
    <mergeCell ref="A3:C3"/>
  </mergeCells>
  <dataValidations count="1">
    <dataValidation type="list" allowBlank="1" showInputMessage="1" showErrorMessage="1" sqref="D6:G13 D15:G30 D32:G34" xr:uid="{8EED2BD3-83B1-4B68-B973-6E48C8B4C876}">
      <formula1>"Must have,Should have,Could have,Won't have"</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1E06-E440-40CA-B1D8-AE60E4F8591F}">
  <dimension ref="A1:X47"/>
  <sheetViews>
    <sheetView zoomScale="90" zoomScaleNormal="90" workbookViewId="0">
      <selection sqref="A1:E1"/>
    </sheetView>
  </sheetViews>
  <sheetFormatPr defaultRowHeight="13.8" x14ac:dyDescent="0.25"/>
  <cols>
    <col min="1" max="1" width="24.3984375" customWidth="1"/>
    <col min="2" max="2" width="23.8984375" style="4" customWidth="1"/>
    <col min="3" max="3" width="25" customWidth="1"/>
    <col min="4" max="4" width="26.09765625" customWidth="1"/>
    <col min="5" max="5" width="23.5" customWidth="1"/>
    <col min="6" max="24" width="8.796875" style="1"/>
  </cols>
  <sheetData>
    <row r="1" spans="1:6" ht="46.8" customHeight="1" x14ac:dyDescent="0.25">
      <c r="A1" s="79" t="s">
        <v>106</v>
      </c>
      <c r="B1" s="80"/>
      <c r="C1" s="80"/>
      <c r="D1" s="80"/>
      <c r="E1" s="80"/>
    </row>
    <row r="2" spans="1:6" ht="15.6" x14ac:dyDescent="0.3">
      <c r="A2" s="75" t="s">
        <v>102</v>
      </c>
      <c r="B2" s="75"/>
      <c r="C2" s="75"/>
      <c r="D2" s="75"/>
      <c r="E2" s="75"/>
    </row>
    <row r="3" spans="1:6" ht="21" customHeight="1" x14ac:dyDescent="0.25">
      <c r="A3" s="8" t="s">
        <v>68</v>
      </c>
      <c r="B3" s="76" t="s">
        <v>86</v>
      </c>
      <c r="C3" s="77"/>
      <c r="D3" s="77"/>
      <c r="E3" s="78"/>
    </row>
    <row r="4" spans="1:6" x14ac:dyDescent="0.25">
      <c r="A4" s="9" t="s">
        <v>83</v>
      </c>
      <c r="B4" s="10" t="s">
        <v>62</v>
      </c>
      <c r="C4" s="11" t="s">
        <v>63</v>
      </c>
      <c r="D4" s="11" t="s">
        <v>64</v>
      </c>
      <c r="E4" s="11" t="s">
        <v>65</v>
      </c>
      <c r="F4" s="1" t="s">
        <v>85</v>
      </c>
    </row>
    <row r="5" spans="1:6" x14ac:dyDescent="0.25">
      <c r="A5" s="29" t="s">
        <v>84</v>
      </c>
      <c r="B5" s="30"/>
      <c r="C5" s="1"/>
      <c r="D5" s="1"/>
      <c r="E5" s="1"/>
    </row>
    <row r="6" spans="1:6" x14ac:dyDescent="0.25">
      <c r="A6" s="1"/>
      <c r="B6" s="30" t="e" cm="1" vm="1">
        <f t="array" ref="B6">_xlfn._xlws.FILTER('MoSCoW Method'!I6:I34, 'MoSCoW Method'!I6:I34&lt;&gt;"")</f>
        <v>#VALUE!</v>
      </c>
      <c r="C6" s="1"/>
      <c r="D6" s="1"/>
      <c r="E6" s="1"/>
    </row>
    <row r="7" spans="1:6" x14ac:dyDescent="0.25">
      <c r="A7" s="1"/>
      <c r="B7" s="30"/>
      <c r="C7" s="1"/>
      <c r="D7" s="1"/>
      <c r="E7" s="1"/>
    </row>
    <row r="8" spans="1:6" x14ac:dyDescent="0.25">
      <c r="A8" s="1"/>
      <c r="B8" s="30"/>
      <c r="C8" s="1"/>
      <c r="D8" s="1"/>
      <c r="E8" s="1"/>
    </row>
    <row r="9" spans="1:6" x14ac:dyDescent="0.25">
      <c r="A9" s="1"/>
      <c r="B9" s="30"/>
      <c r="C9" s="1"/>
      <c r="D9" s="1"/>
      <c r="E9" s="1"/>
    </row>
    <row r="10" spans="1:6" x14ac:dyDescent="0.25">
      <c r="A10" s="1"/>
      <c r="B10" s="30"/>
      <c r="C10" s="1"/>
      <c r="D10" s="1"/>
      <c r="E10" s="1"/>
    </row>
    <row r="11" spans="1:6" ht="27.6" x14ac:dyDescent="0.25">
      <c r="A11" s="1"/>
      <c r="B11" s="30"/>
      <c r="C11" s="1"/>
      <c r="D11" s="1"/>
      <c r="E11" s="1"/>
    </row>
    <row r="12" spans="1:6" x14ac:dyDescent="0.25">
      <c r="A12" s="1"/>
      <c r="B12" s="30"/>
      <c r="C12" s="1"/>
      <c r="D12" s="1"/>
      <c r="E12" s="1"/>
    </row>
    <row r="13" spans="1:6" x14ac:dyDescent="0.25">
      <c r="A13" s="1"/>
      <c r="B13" s="30"/>
      <c r="C13" s="1"/>
      <c r="D13" s="1"/>
      <c r="E13" s="1"/>
    </row>
    <row r="14" spans="1:6" x14ac:dyDescent="0.25">
      <c r="A14" s="1"/>
      <c r="B14" s="30"/>
      <c r="C14" s="1"/>
      <c r="D14" s="1"/>
      <c r="E14" s="1"/>
    </row>
    <row r="15" spans="1:6" ht="18" customHeight="1" x14ac:dyDescent="0.25">
      <c r="A15" s="1"/>
      <c r="B15" s="30"/>
      <c r="C15" s="1"/>
      <c r="D15" s="1"/>
      <c r="E15" s="1"/>
    </row>
    <row r="16" spans="1:6" x14ac:dyDescent="0.25">
      <c r="A16" s="1"/>
      <c r="B16" s="30"/>
      <c r="C16" s="1"/>
      <c r="D16" s="1"/>
      <c r="E16" s="1"/>
    </row>
    <row r="17" spans="1:5" x14ac:dyDescent="0.25">
      <c r="A17" s="1"/>
      <c r="B17" s="30"/>
      <c r="C17" s="1"/>
      <c r="D17" s="1"/>
      <c r="E17" s="1"/>
    </row>
    <row r="18" spans="1:5" x14ac:dyDescent="0.25">
      <c r="A18" s="1"/>
      <c r="B18" s="30"/>
      <c r="C18" s="1"/>
      <c r="D18" s="1"/>
      <c r="E18" s="1"/>
    </row>
    <row r="19" spans="1:5" ht="27.6" x14ac:dyDescent="0.25">
      <c r="A19" s="1"/>
      <c r="B19" s="30"/>
      <c r="C19" s="1"/>
      <c r="D19" s="1"/>
      <c r="E19" s="1"/>
    </row>
    <row r="20" spans="1:5" x14ac:dyDescent="0.25">
      <c r="A20" s="1"/>
      <c r="B20" s="30"/>
      <c r="C20" s="1"/>
      <c r="D20" s="1"/>
      <c r="E20" s="1"/>
    </row>
    <row r="21" spans="1:5" x14ac:dyDescent="0.25">
      <c r="A21" s="1"/>
      <c r="B21" s="30"/>
      <c r="C21" s="1"/>
      <c r="D21" s="1"/>
      <c r="E21" s="1"/>
    </row>
    <row r="22" spans="1:5" x14ac:dyDescent="0.25">
      <c r="A22" s="1"/>
      <c r="B22" s="30"/>
      <c r="C22" s="1"/>
      <c r="D22" s="1"/>
      <c r="E22" s="1"/>
    </row>
    <row r="23" spans="1:5" x14ac:dyDescent="0.25">
      <c r="A23" s="1"/>
      <c r="B23" s="30"/>
      <c r="C23" s="1"/>
      <c r="D23" s="1"/>
      <c r="E23" s="1"/>
    </row>
    <row r="24" spans="1:5" x14ac:dyDescent="0.25">
      <c r="A24" s="1"/>
      <c r="B24" s="30"/>
      <c r="C24" s="1"/>
      <c r="D24" s="1"/>
      <c r="E24" s="1"/>
    </row>
    <row r="25" spans="1:5" x14ac:dyDescent="0.25">
      <c r="A25" s="1"/>
      <c r="B25" s="30"/>
      <c r="C25" s="1"/>
      <c r="D25" s="1"/>
      <c r="E25" s="1"/>
    </row>
    <row r="26" spans="1:5" x14ac:dyDescent="0.25">
      <c r="A26" s="1"/>
      <c r="B26" s="30"/>
      <c r="C26" s="1"/>
      <c r="D26" s="1"/>
      <c r="E26" s="1"/>
    </row>
    <row r="27" spans="1:5" x14ac:dyDescent="0.25">
      <c r="A27" s="1"/>
      <c r="B27" s="30"/>
      <c r="C27" s="1"/>
      <c r="D27" s="1"/>
      <c r="E27" s="1"/>
    </row>
    <row r="28" spans="1:5" ht="15.6" customHeight="1" x14ac:dyDescent="0.25">
      <c r="A28" s="1"/>
      <c r="B28" s="30"/>
      <c r="C28" s="1"/>
      <c r="D28" s="1"/>
      <c r="E28" s="1"/>
    </row>
    <row r="29" spans="1:5" x14ac:dyDescent="0.25">
      <c r="A29" s="1"/>
      <c r="B29" s="30"/>
      <c r="C29" s="1"/>
      <c r="D29" s="1"/>
      <c r="E29" s="1"/>
    </row>
    <row r="30" spans="1:5" x14ac:dyDescent="0.25">
      <c r="A30" s="1"/>
      <c r="B30" s="30"/>
      <c r="C30" s="1"/>
      <c r="D30" s="1"/>
      <c r="E30" s="1"/>
    </row>
    <row r="31" spans="1:5" x14ac:dyDescent="0.25">
      <c r="A31" s="1"/>
      <c r="B31" s="30"/>
      <c r="C31" s="1"/>
      <c r="D31" s="1"/>
      <c r="E31" s="1"/>
    </row>
    <row r="32" spans="1:5" x14ac:dyDescent="0.25">
      <c r="A32" s="1"/>
      <c r="B32" s="30"/>
      <c r="C32" s="1"/>
      <c r="D32" s="1"/>
      <c r="E32" s="1"/>
    </row>
    <row r="33" spans="1:5" x14ac:dyDescent="0.25">
      <c r="A33" s="1"/>
      <c r="B33" s="30"/>
      <c r="C33" s="1"/>
      <c r="D33" s="1"/>
      <c r="E33" s="1"/>
    </row>
    <row r="34" spans="1:5" x14ac:dyDescent="0.25">
      <c r="A34" s="1"/>
      <c r="B34" s="30"/>
      <c r="C34" s="1"/>
      <c r="D34" s="1"/>
      <c r="E34" s="1"/>
    </row>
    <row r="35" spans="1:5" x14ac:dyDescent="0.25">
      <c r="A35" s="1"/>
      <c r="C35" s="1"/>
      <c r="D35" s="1"/>
      <c r="E35" s="1"/>
    </row>
    <row r="36" spans="1:5" x14ac:dyDescent="0.25">
      <c r="A36" s="1"/>
      <c r="C36" s="1"/>
      <c r="D36" s="1"/>
      <c r="E36" s="1"/>
    </row>
    <row r="37" spans="1:5" x14ac:dyDescent="0.25">
      <c r="A37" s="1"/>
      <c r="C37" s="1"/>
      <c r="D37" s="1"/>
      <c r="E37" s="1"/>
    </row>
    <row r="38" spans="1:5" x14ac:dyDescent="0.25">
      <c r="A38" s="1"/>
      <c r="C38" s="1"/>
      <c r="D38" s="1"/>
      <c r="E38" s="1"/>
    </row>
    <row r="39" spans="1:5" x14ac:dyDescent="0.25">
      <c r="A39" s="1"/>
      <c r="C39" s="1"/>
      <c r="D39" s="1"/>
      <c r="E39" s="1"/>
    </row>
    <row r="40" spans="1:5" x14ac:dyDescent="0.25">
      <c r="A40" s="1"/>
      <c r="C40" s="1"/>
      <c r="D40" s="1"/>
      <c r="E40" s="1"/>
    </row>
    <row r="41" spans="1:5" x14ac:dyDescent="0.25">
      <c r="A41" s="1"/>
      <c r="C41" s="1"/>
      <c r="D41" s="1"/>
      <c r="E41" s="1"/>
    </row>
    <row r="42" spans="1:5" x14ac:dyDescent="0.25">
      <c r="A42" s="1"/>
      <c r="C42" s="1"/>
      <c r="D42" s="1"/>
      <c r="E42" s="1"/>
    </row>
    <row r="43" spans="1:5" x14ac:dyDescent="0.25">
      <c r="A43" s="1"/>
      <c r="C43" s="1"/>
      <c r="D43" s="1"/>
      <c r="E43" s="1"/>
    </row>
    <row r="44" spans="1:5" x14ac:dyDescent="0.25">
      <c r="A44" s="1"/>
      <c r="C44" s="1"/>
      <c r="D44" s="1"/>
      <c r="E44" s="1"/>
    </row>
    <row r="45" spans="1:5" x14ac:dyDescent="0.25">
      <c r="A45" s="1"/>
      <c r="C45" s="1"/>
      <c r="D45" s="1"/>
      <c r="E45" s="1"/>
    </row>
    <row r="46" spans="1:5" x14ac:dyDescent="0.25">
      <c r="C46" s="1"/>
      <c r="D46" s="1"/>
      <c r="E46" s="1"/>
    </row>
    <row r="47" spans="1:5" x14ac:dyDescent="0.25">
      <c r="C47" s="1"/>
      <c r="D47" s="1"/>
      <c r="E47" s="1"/>
    </row>
  </sheetData>
  <mergeCells count="3">
    <mergeCell ref="A2:E2"/>
    <mergeCell ref="B3:E3"/>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17FCE-82B7-41E2-9EC7-6806C12B80A1}">
  <dimension ref="A1:AM134"/>
  <sheetViews>
    <sheetView zoomScale="80" zoomScaleNormal="80" workbookViewId="0">
      <selection activeCell="C6" sqref="C6"/>
    </sheetView>
  </sheetViews>
  <sheetFormatPr defaultRowHeight="13.8" x14ac:dyDescent="0.25"/>
  <cols>
    <col min="1" max="1" width="14" customWidth="1"/>
    <col min="2" max="2" width="13.796875" customWidth="1"/>
    <col min="3" max="3" width="12.796875" customWidth="1"/>
    <col min="4" max="4" width="12" customWidth="1"/>
    <col min="6" max="7" width="8.796875" customWidth="1"/>
    <col min="9" max="9" width="15.59765625" customWidth="1"/>
    <col min="10" max="10" width="10.69921875" customWidth="1"/>
    <col min="11" max="11" width="12.09765625" customWidth="1"/>
    <col min="12" max="12" width="11.8984375" customWidth="1"/>
    <col min="15" max="15" width="11.59765625" customWidth="1"/>
    <col min="16" max="39" width="8.796875" style="1"/>
  </cols>
  <sheetData>
    <row r="1" spans="1:15" ht="166.2" customHeight="1" x14ac:dyDescent="0.25">
      <c r="A1" s="79" t="s">
        <v>98</v>
      </c>
      <c r="B1" s="79"/>
      <c r="C1" s="79"/>
      <c r="D1" s="79"/>
      <c r="E1" s="79"/>
      <c r="F1" s="79"/>
      <c r="G1" s="79"/>
      <c r="H1" s="79"/>
      <c r="I1" s="79" t="s">
        <v>90</v>
      </c>
      <c r="J1" s="79"/>
      <c r="K1" s="79"/>
      <c r="L1" s="79"/>
      <c r="M1" s="79"/>
      <c r="N1" s="79"/>
      <c r="O1" s="79"/>
    </row>
    <row r="2" spans="1:15" s="1" customFormat="1" x14ac:dyDescent="0.25">
      <c r="A2" s="82" t="s">
        <v>87</v>
      </c>
      <c r="B2" s="83"/>
      <c r="C2" s="83"/>
      <c r="D2" s="83"/>
      <c r="E2" s="83"/>
      <c r="F2" s="83"/>
      <c r="G2" s="83"/>
      <c r="H2" s="83"/>
      <c r="I2" s="83"/>
      <c r="J2" s="83"/>
      <c r="K2" s="83"/>
      <c r="L2" s="83"/>
      <c r="M2" s="83"/>
      <c r="N2" s="83"/>
      <c r="O2" s="83"/>
    </row>
    <row r="3" spans="1:15" s="1" customFormat="1" x14ac:dyDescent="0.25">
      <c r="B3" s="32"/>
    </row>
    <row r="4" spans="1:15" x14ac:dyDescent="0.25">
      <c r="A4" s="1"/>
      <c r="B4" s="81" t="s">
        <v>103</v>
      </c>
      <c r="C4" s="81"/>
      <c r="D4" s="81"/>
      <c r="E4" s="81"/>
      <c r="F4" s="1"/>
      <c r="G4" s="1"/>
      <c r="H4" s="1"/>
      <c r="I4" s="1"/>
      <c r="J4" s="1"/>
      <c r="K4" s="1"/>
      <c r="L4" s="1"/>
      <c r="M4" s="1"/>
      <c r="N4" s="1"/>
      <c r="O4" s="1"/>
    </row>
    <row r="5" spans="1:15" ht="26.4" x14ac:dyDescent="0.25">
      <c r="A5" s="1"/>
      <c r="B5" s="33" t="s">
        <v>62</v>
      </c>
      <c r="C5" s="33" t="s">
        <v>63</v>
      </c>
      <c r="D5" s="33" t="s">
        <v>64</v>
      </c>
      <c r="E5" s="33" t="s">
        <v>65</v>
      </c>
      <c r="F5" s="1"/>
      <c r="G5" s="1"/>
      <c r="H5" s="1"/>
      <c r="I5" s="1"/>
      <c r="J5" s="1"/>
      <c r="K5" s="1"/>
      <c r="L5" s="1"/>
      <c r="M5" s="1"/>
      <c r="N5" s="1"/>
      <c r="O5" s="1"/>
    </row>
    <row r="6" spans="1:15" x14ac:dyDescent="0.25">
      <c r="A6" s="33" t="s">
        <v>62</v>
      </c>
      <c r="B6" s="34">
        <v>1</v>
      </c>
      <c r="C6" s="31"/>
      <c r="D6" s="31"/>
      <c r="E6" s="63"/>
      <c r="F6" s="1"/>
      <c r="G6" s="1"/>
      <c r="H6" s="1"/>
      <c r="I6" s="1"/>
      <c r="J6" s="1"/>
      <c r="K6" s="1"/>
      <c r="L6" s="1"/>
      <c r="M6" s="1"/>
      <c r="N6" s="1"/>
      <c r="O6" s="1"/>
    </row>
    <row r="7" spans="1:15" ht="26.4" x14ac:dyDescent="0.25">
      <c r="A7" s="33" t="s">
        <v>63</v>
      </c>
      <c r="B7" s="11">
        <f>IF(C6=0,0,1/C6)</f>
        <v>0</v>
      </c>
      <c r="C7" s="34">
        <v>1</v>
      </c>
      <c r="D7" s="31"/>
      <c r="E7" s="31"/>
      <c r="F7" s="1"/>
      <c r="G7" s="1"/>
      <c r="H7" s="1"/>
      <c r="I7" s="1"/>
      <c r="J7" s="1"/>
      <c r="K7" s="1"/>
      <c r="L7" s="1"/>
      <c r="M7" s="1"/>
      <c r="N7" s="1"/>
      <c r="O7" s="1"/>
    </row>
    <row r="8" spans="1:15" x14ac:dyDescent="0.25">
      <c r="A8" s="33" t="s">
        <v>64</v>
      </c>
      <c r="B8" s="11">
        <f>IF(D6=0,0,1/D6)</f>
        <v>0</v>
      </c>
      <c r="C8" s="11">
        <f>IF(D7=0,0,1/D7)</f>
        <v>0</v>
      </c>
      <c r="D8" s="34">
        <v>1</v>
      </c>
      <c r="E8" s="31"/>
      <c r="F8" s="1"/>
      <c r="G8" s="1"/>
      <c r="H8" s="1"/>
      <c r="I8" s="1"/>
      <c r="J8" s="1"/>
      <c r="K8" s="1"/>
      <c r="L8" s="1"/>
      <c r="M8" s="1"/>
      <c r="N8" s="1"/>
      <c r="O8" s="1"/>
    </row>
    <row r="9" spans="1:15" x14ac:dyDescent="0.25">
      <c r="A9" s="33" t="s">
        <v>65</v>
      </c>
      <c r="B9" s="11">
        <f>IF(E6=0,0,1/E6)</f>
        <v>0</v>
      </c>
      <c r="C9" s="11">
        <f>IF(E7=0,0,1/E7)</f>
        <v>0</v>
      </c>
      <c r="D9" s="11">
        <f>IF(E8=0,0,1/E8)</f>
        <v>0</v>
      </c>
      <c r="E9" s="34">
        <v>1</v>
      </c>
      <c r="F9" s="1"/>
      <c r="G9" s="1"/>
      <c r="H9" s="1"/>
      <c r="I9" s="1"/>
      <c r="J9" s="1"/>
      <c r="K9" s="1"/>
      <c r="L9" s="1"/>
      <c r="M9" s="1"/>
      <c r="N9" s="1"/>
      <c r="O9" s="1"/>
    </row>
    <row r="10" spans="1:15" s="1" customFormat="1" x14ac:dyDescent="0.25"/>
    <row r="11" spans="1:15" ht="17.399999999999999" customHeight="1" x14ac:dyDescent="0.25">
      <c r="A11" s="1"/>
      <c r="B11" s="81" t="s">
        <v>89</v>
      </c>
      <c r="C11" s="81"/>
      <c r="D11" s="81"/>
      <c r="E11" s="81"/>
      <c r="F11" s="81"/>
      <c r="G11" s="81"/>
      <c r="H11" s="1"/>
      <c r="I11" s="1"/>
      <c r="J11" s="81" t="s">
        <v>104</v>
      </c>
      <c r="K11" s="81"/>
      <c r="L11" s="81"/>
      <c r="M11" s="81"/>
      <c r="N11" s="81"/>
      <c r="O11" s="81"/>
    </row>
    <row r="12" spans="1:15" ht="34.799999999999997" customHeight="1" x14ac:dyDescent="0.25">
      <c r="A12" s="1"/>
      <c r="B12" s="33" t="s">
        <v>62</v>
      </c>
      <c r="C12" s="33" t="s">
        <v>63</v>
      </c>
      <c r="D12" s="33" t="s">
        <v>64</v>
      </c>
      <c r="E12" s="33" t="s">
        <v>65</v>
      </c>
      <c r="F12" s="35" t="s">
        <v>69</v>
      </c>
      <c r="G12" s="36" t="s">
        <v>70</v>
      </c>
      <c r="H12" s="1"/>
      <c r="I12" s="1"/>
      <c r="J12" s="33" t="s">
        <v>62</v>
      </c>
      <c r="K12" s="33" t="s">
        <v>63</v>
      </c>
      <c r="L12" s="33" t="s">
        <v>64</v>
      </c>
      <c r="M12" s="33" t="s">
        <v>65</v>
      </c>
      <c r="N12" s="35" t="s">
        <v>69</v>
      </c>
      <c r="O12" s="36" t="s">
        <v>70</v>
      </c>
    </row>
    <row r="13" spans="1:15" x14ac:dyDescent="0.25">
      <c r="A13" s="33" t="s">
        <v>62</v>
      </c>
      <c r="B13" s="37">
        <f>$B$6*B6+$C$6*B7+$D$6*B8+$E$6*B9</f>
        <v>1</v>
      </c>
      <c r="C13" s="38">
        <f>$B$6*C6+$C$6*C7+$D$6*C8+$E$6*C9</f>
        <v>0</v>
      </c>
      <c r="D13" s="38">
        <f>$B$6*D6+$C$6*D7+$D$6*D8+$E$6*D9</f>
        <v>0</v>
      </c>
      <c r="E13" s="38">
        <f>$B$6*E6+$C$6*E7+$D$6*E8+$E$6*E9</f>
        <v>0</v>
      </c>
      <c r="F13" s="38">
        <f>SUM(B13:E13)</f>
        <v>1</v>
      </c>
      <c r="G13" s="38">
        <f>F13/$F$17</f>
        <v>0.25</v>
      </c>
      <c r="H13" s="1"/>
      <c r="I13" s="33" t="s">
        <v>62</v>
      </c>
      <c r="J13" s="38">
        <f>$B$13*B13+$C$13*B14+$D$13*B15+$E$13*B16</f>
        <v>1</v>
      </c>
      <c r="K13" s="38">
        <f>$B$13*C13+$C$13*C14+$D$13*C15+$E$13*C16</f>
        <v>0</v>
      </c>
      <c r="L13" s="38">
        <f>$B$13*D13+$C$13*D14+$D$13*D15+$E$13*D16</f>
        <v>0</v>
      </c>
      <c r="M13" s="38">
        <f>$B$13*E13+$C$13*E14+$D$13*E15+$E$13*E16</f>
        <v>0</v>
      </c>
      <c r="N13" s="38">
        <f>SUM(J13:M13)</f>
        <v>1</v>
      </c>
      <c r="O13" s="38">
        <f>N13/$N$17</f>
        <v>0.25</v>
      </c>
    </row>
    <row r="14" spans="1:15" ht="33" customHeight="1" x14ac:dyDescent="0.25">
      <c r="A14" s="33" t="s">
        <v>63</v>
      </c>
      <c r="B14" s="38">
        <f>$B$7*B6+$C$7*B7+$D$7*B8+$E$7*B9</f>
        <v>0</v>
      </c>
      <c r="C14" s="37">
        <f>$B$7*C6+$C$7*C7+$D$7*C8+$E$7*C9</f>
        <v>1</v>
      </c>
      <c r="D14" s="38">
        <f>$B$7*D6+$C$7*D7+$D$7*D8+$E$7*D9</f>
        <v>0</v>
      </c>
      <c r="E14" s="38">
        <f>$B$7*E6+$C$7*E7+$D$7*E8+$E$7*E9</f>
        <v>0</v>
      </c>
      <c r="F14" s="38">
        <f>SUM(B14:E14)</f>
        <v>1</v>
      </c>
      <c r="G14" s="38">
        <f t="shared" ref="G14:G16" si="0">F14/$F$17</f>
        <v>0.25</v>
      </c>
      <c r="H14" s="1"/>
      <c r="I14" s="33" t="s">
        <v>63</v>
      </c>
      <c r="J14" s="38">
        <f>$B$14*B13+$C$14*B14+$D$14*B15+$E$14*B16</f>
        <v>0</v>
      </c>
      <c r="K14" s="38">
        <f>$B$14*C13+$C$14*C14+$D$14*C15+$E$14*C16</f>
        <v>1</v>
      </c>
      <c r="L14" s="38">
        <f>$B$14*D13+$C$14*D14+$D$14*D15+$E$14*D16</f>
        <v>0</v>
      </c>
      <c r="M14" s="38">
        <f>$B$14*E13+$C$14*E14+$D$14*E15+$E$14*E16</f>
        <v>0</v>
      </c>
      <c r="N14" s="38">
        <f>SUM(J14:M14)</f>
        <v>1</v>
      </c>
      <c r="O14" s="38">
        <f>N14/$N$17</f>
        <v>0.25</v>
      </c>
    </row>
    <row r="15" spans="1:15" x14ac:dyDescent="0.25">
      <c r="A15" s="33" t="s">
        <v>64</v>
      </c>
      <c r="B15" s="38">
        <f>$B$8*B6+$C$8*B7+$D$8*B8+$E$8*B9</f>
        <v>0</v>
      </c>
      <c r="C15" s="38">
        <f>$B$8*C6+$C$8*C7+$D$8*C8+$E$8*C9</f>
        <v>0</v>
      </c>
      <c r="D15" s="37">
        <f>$B$8*D6+$C$8*D7+$D$8*D8+$E$8*D9</f>
        <v>1</v>
      </c>
      <c r="E15" s="38">
        <f>$B$8*E6+$C$8*E7+$D$8*E8+$E$8*E9</f>
        <v>0</v>
      </c>
      <c r="F15" s="38">
        <f>SUM(B15:E15)</f>
        <v>1</v>
      </c>
      <c r="G15" s="38">
        <f t="shared" si="0"/>
        <v>0.25</v>
      </c>
      <c r="H15" s="1"/>
      <c r="I15" s="33" t="s">
        <v>64</v>
      </c>
      <c r="J15" s="38">
        <f>$B$15*B13+$C$15*B14+$D$15*B15+$E$15*B16</f>
        <v>0</v>
      </c>
      <c r="K15" s="38">
        <f t="shared" ref="K15:M15" si="1">$B$15*C13+$C$15*C14+$D$15*C15+$E$15*C16</f>
        <v>0</v>
      </c>
      <c r="L15" s="38">
        <f t="shared" si="1"/>
        <v>1</v>
      </c>
      <c r="M15" s="38">
        <f t="shared" si="1"/>
        <v>0</v>
      </c>
      <c r="N15" s="38">
        <f>SUM(J15:M15)</f>
        <v>1</v>
      </c>
      <c r="O15" s="38">
        <f>N15/$N$17</f>
        <v>0.25</v>
      </c>
    </row>
    <row r="16" spans="1:15" x14ac:dyDescent="0.25">
      <c r="A16" s="33" t="s">
        <v>65</v>
      </c>
      <c r="B16" s="38">
        <f>$B$9*B6+$C$9*B7+$D$9*B8+$E$9*B9</f>
        <v>0</v>
      </c>
      <c r="C16" s="38">
        <f>$B$9*C6+$C$9*C7+$D$9*C8+$E$9*C9</f>
        <v>0</v>
      </c>
      <c r="D16" s="38">
        <f>$B$9*D6+$C$9*D7+$D$9*D8+$E$9*D9</f>
        <v>0</v>
      </c>
      <c r="E16" s="37">
        <f>$B$9*E6+$C$9*E7+$D$9*E8+$E$9*E9</f>
        <v>1</v>
      </c>
      <c r="F16" s="38">
        <f>SUM(B16:E16)</f>
        <v>1</v>
      </c>
      <c r="G16" s="38">
        <f t="shared" si="0"/>
        <v>0.25</v>
      </c>
      <c r="H16" s="1"/>
      <c r="I16" s="33" t="s">
        <v>65</v>
      </c>
      <c r="J16" s="38">
        <f>$B$16*B13+$C$16*B14+$D$16*B15+$E$16*B16</f>
        <v>0</v>
      </c>
      <c r="K16" s="38">
        <f t="shared" ref="K16:M16" si="2">$B$16*C13+$C$16*C14+$D$16*C15+$E$16*C16</f>
        <v>0</v>
      </c>
      <c r="L16" s="38">
        <f t="shared" si="2"/>
        <v>0</v>
      </c>
      <c r="M16" s="38">
        <f t="shared" si="2"/>
        <v>1</v>
      </c>
      <c r="N16" s="38">
        <f>SUM(J16:M16)</f>
        <v>1</v>
      </c>
      <c r="O16" s="38">
        <f>N16/$N$17</f>
        <v>0.25</v>
      </c>
    </row>
    <row r="17" spans="1:15" x14ac:dyDescent="0.25">
      <c r="A17" s="1"/>
      <c r="B17" s="1"/>
      <c r="C17" s="1"/>
      <c r="D17" s="1"/>
      <c r="E17" s="39" t="s">
        <v>71</v>
      </c>
      <c r="F17" s="38">
        <f>SUM(F13:F16)</f>
        <v>4</v>
      </c>
      <c r="G17" s="38">
        <f>SUM(G13:G16)</f>
        <v>1</v>
      </c>
      <c r="H17" s="1"/>
      <c r="I17" s="1"/>
      <c r="J17" s="40"/>
      <c r="K17" s="40"/>
      <c r="L17" s="40"/>
      <c r="M17" s="39" t="s">
        <v>71</v>
      </c>
      <c r="N17" s="38">
        <f>SUM(N13:N16)</f>
        <v>4</v>
      </c>
      <c r="O17" s="38">
        <f>SUM(O13:O16)</f>
        <v>1</v>
      </c>
    </row>
    <row r="18" spans="1:15" s="1" customFormat="1" x14ac:dyDescent="0.25"/>
    <row r="19" spans="1:15" s="1" customFormat="1" x14ac:dyDescent="0.25"/>
    <row r="20" spans="1:15" s="1" customFormat="1" x14ac:dyDescent="0.25"/>
    <row r="21" spans="1:15" s="1" customFormat="1" x14ac:dyDescent="0.25"/>
    <row r="22" spans="1:15" s="41" customFormat="1" x14ac:dyDescent="0.25"/>
    <row r="23" spans="1:15" s="1" customFormat="1" x14ac:dyDescent="0.25"/>
    <row r="24" spans="1:15" s="1" customFormat="1" x14ac:dyDescent="0.25"/>
    <row r="25" spans="1:15" s="1" customFormat="1" x14ac:dyDescent="0.25"/>
    <row r="26" spans="1:15" s="1" customFormat="1" x14ac:dyDescent="0.25"/>
    <row r="27" spans="1:15" s="1" customFormat="1" x14ac:dyDescent="0.25"/>
    <row r="28" spans="1:15" s="1" customFormat="1" x14ac:dyDescent="0.25"/>
    <row r="29" spans="1:15" s="1" customFormat="1" x14ac:dyDescent="0.25"/>
    <row r="30" spans="1:15" s="1" customFormat="1" x14ac:dyDescent="0.25"/>
    <row r="31" spans="1:15" s="1" customFormat="1" x14ac:dyDescent="0.25"/>
    <row r="32" spans="1:15" s="1" customFormat="1" x14ac:dyDescent="0.25"/>
    <row r="33" s="1" customFormat="1" x14ac:dyDescent="0.25"/>
    <row r="34" s="1" customFormat="1" x14ac:dyDescent="0.25"/>
    <row r="35" s="1" customFormat="1" x14ac:dyDescent="0.25"/>
    <row r="36" s="1" customFormat="1" x14ac:dyDescent="0.25"/>
    <row r="37" s="1" customFormat="1" x14ac:dyDescent="0.25"/>
    <row r="38" s="1" customFormat="1" x14ac:dyDescent="0.25"/>
    <row r="39" s="1" customFormat="1" x14ac:dyDescent="0.25"/>
    <row r="40" s="1" customFormat="1" x14ac:dyDescent="0.25"/>
    <row r="41" s="1" customFormat="1" x14ac:dyDescent="0.25"/>
    <row r="42" s="1" customFormat="1" x14ac:dyDescent="0.25"/>
    <row r="43" s="1" customFormat="1" x14ac:dyDescent="0.25"/>
    <row r="44" s="1" customFormat="1" x14ac:dyDescent="0.25"/>
    <row r="45" s="1" customFormat="1" x14ac:dyDescent="0.25"/>
    <row r="46" s="1" customFormat="1" x14ac:dyDescent="0.25"/>
    <row r="47" s="1" customFormat="1" x14ac:dyDescent="0.25"/>
    <row r="48"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x14ac:dyDescent="0.25"/>
    <row r="60" s="1" customFormat="1" x14ac:dyDescent="0.25"/>
    <row r="61" s="1" customFormat="1" x14ac:dyDescent="0.25"/>
    <row r="62" s="1" customFormat="1" x14ac:dyDescent="0.25"/>
    <row r="63" s="1" customFormat="1" x14ac:dyDescent="0.25"/>
    <row r="64" s="1" customFormat="1" x14ac:dyDescent="0.25"/>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row r="80" s="1" customFormat="1" x14ac:dyDescent="0.25"/>
    <row r="81" s="1" customFormat="1" x14ac:dyDescent="0.25"/>
    <row r="82" s="1" customFormat="1" x14ac:dyDescent="0.25"/>
    <row r="83" s="1" customFormat="1" x14ac:dyDescent="0.25"/>
    <row r="84" s="1" customFormat="1" x14ac:dyDescent="0.25"/>
    <row r="85" s="1" customFormat="1" x14ac:dyDescent="0.25"/>
    <row r="86" s="1" customFormat="1" x14ac:dyDescent="0.25"/>
    <row r="87" s="1" customFormat="1" x14ac:dyDescent="0.25"/>
    <row r="88" s="1" customFormat="1" x14ac:dyDescent="0.25"/>
    <row r="89" s="1" customFormat="1" x14ac:dyDescent="0.25"/>
    <row r="90" s="1" customFormat="1" x14ac:dyDescent="0.25"/>
    <row r="91" s="1" customFormat="1" x14ac:dyDescent="0.25"/>
    <row r="92" s="1" customFormat="1" x14ac:dyDescent="0.25"/>
    <row r="93" s="1" customFormat="1" x14ac:dyDescent="0.25"/>
    <row r="94" s="1" customFormat="1" x14ac:dyDescent="0.25"/>
    <row r="95" s="1" customFormat="1" x14ac:dyDescent="0.25"/>
    <row r="96" s="1" customFormat="1" x14ac:dyDescent="0.25"/>
    <row r="97" s="1" customFormat="1" x14ac:dyDescent="0.25"/>
    <row r="98" s="1" customFormat="1" x14ac:dyDescent="0.25"/>
    <row r="99" s="1" customFormat="1" x14ac:dyDescent="0.25"/>
    <row r="100" s="1" customFormat="1" x14ac:dyDescent="0.25"/>
    <row r="101" s="1" customFormat="1" x14ac:dyDescent="0.25"/>
    <row r="102" s="1" customFormat="1" x14ac:dyDescent="0.25"/>
    <row r="103" s="1" customFormat="1" x14ac:dyDescent="0.25"/>
    <row r="104" s="1" customFormat="1" x14ac:dyDescent="0.25"/>
    <row r="105" s="1" customFormat="1" x14ac:dyDescent="0.25"/>
    <row r="106" s="1" customFormat="1" x14ac:dyDescent="0.25"/>
    <row r="107" s="1" customFormat="1" x14ac:dyDescent="0.25"/>
    <row r="108" s="1" customFormat="1" x14ac:dyDescent="0.25"/>
    <row r="109" s="1" customFormat="1" x14ac:dyDescent="0.25"/>
    <row r="110" s="1" customFormat="1" x14ac:dyDescent="0.25"/>
    <row r="111" s="1" customFormat="1" x14ac:dyDescent="0.25"/>
    <row r="112" s="1" customFormat="1" x14ac:dyDescent="0.25"/>
    <row r="113" s="1" customFormat="1" x14ac:dyDescent="0.25"/>
    <row r="114" s="1" customFormat="1" x14ac:dyDescent="0.25"/>
    <row r="115" s="1" customFormat="1" x14ac:dyDescent="0.25"/>
    <row r="116" s="1" customFormat="1" x14ac:dyDescent="0.25"/>
    <row r="117" s="1" customFormat="1" x14ac:dyDescent="0.25"/>
    <row r="118" s="1" customFormat="1" x14ac:dyDescent="0.25"/>
    <row r="119" s="1" customFormat="1" x14ac:dyDescent="0.25"/>
    <row r="120" s="1" customFormat="1" x14ac:dyDescent="0.25"/>
    <row r="121" s="1" customForma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sheetData>
  <sheetProtection algorithmName="SHA-512" hashValue="X/h0JBtrixDfxCIOlUsCIdak9QdWIkwspV1KqPm/ZRijg4zERfcNHf43F0a04R8UASh9MmvRvxNyaNReuhZ3aA==" saltValue="EkbtKxQNENON2J0sC3kzLA==" spinCount="100000" sheet="1" objects="1" scenarios="1"/>
  <mergeCells count="6">
    <mergeCell ref="A1:H1"/>
    <mergeCell ref="I1:O1"/>
    <mergeCell ref="J11:O11"/>
    <mergeCell ref="B11:G11"/>
    <mergeCell ref="B4:E4"/>
    <mergeCell ref="A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D3FB-49BD-41E7-8402-494E18220071}">
  <dimension ref="A1:BC114"/>
  <sheetViews>
    <sheetView zoomScale="80" zoomScaleNormal="80" workbookViewId="0">
      <selection activeCell="C6" sqref="C6"/>
    </sheetView>
  </sheetViews>
  <sheetFormatPr defaultRowHeight="13.8" x14ac:dyDescent="0.25"/>
  <cols>
    <col min="1" max="1" width="14.3984375" style="47" customWidth="1"/>
    <col min="6" max="6" width="11.3984375" customWidth="1"/>
    <col min="12" max="12" width="11.3984375" bestFit="1" customWidth="1"/>
    <col min="16" max="17" width="11.3984375" bestFit="1" customWidth="1"/>
  </cols>
  <sheetData>
    <row r="1" spans="1:55" ht="150" customHeight="1" x14ac:dyDescent="0.25">
      <c r="A1" s="85" t="s">
        <v>95</v>
      </c>
      <c r="B1" s="85"/>
      <c r="C1" s="85"/>
      <c r="D1" s="85"/>
      <c r="E1" s="85"/>
      <c r="F1" s="85"/>
      <c r="G1" s="85"/>
      <c r="H1" s="85"/>
      <c r="I1" s="85"/>
      <c r="J1" s="85"/>
      <c r="K1" s="85"/>
      <c r="L1" s="85"/>
      <c r="M1" s="86" t="s">
        <v>88</v>
      </c>
      <c r="N1" s="86"/>
      <c r="O1" s="86"/>
      <c r="P1" s="86"/>
      <c r="Q1" s="86"/>
      <c r="R1" s="86"/>
      <c r="S1" s="86"/>
      <c r="T1" s="44"/>
      <c r="U1" s="44"/>
      <c r="V1" s="44"/>
      <c r="W1" s="44"/>
      <c r="X1" s="44"/>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s="1" customFormat="1" x14ac:dyDescent="0.25">
      <c r="A2" s="88" t="s">
        <v>87</v>
      </c>
      <c r="B2" s="89"/>
      <c r="C2" s="89"/>
      <c r="D2" s="89"/>
      <c r="E2" s="89"/>
      <c r="F2" s="89"/>
      <c r="G2" s="89"/>
      <c r="H2" s="89"/>
      <c r="I2" s="89"/>
      <c r="J2" s="89"/>
      <c r="K2" s="89"/>
      <c r="L2" s="89"/>
      <c r="M2" s="89"/>
      <c r="N2" s="89"/>
      <c r="O2" s="89"/>
      <c r="P2" s="89"/>
      <c r="Q2" s="89"/>
      <c r="R2" s="89"/>
      <c r="S2" s="89"/>
    </row>
    <row r="3" spans="1:55" s="1" customFormat="1" x14ac:dyDescent="0.25">
      <c r="A3" s="45"/>
      <c r="B3" s="40"/>
      <c r="C3" s="40"/>
      <c r="D3" s="40"/>
      <c r="E3" s="40"/>
      <c r="F3" s="40"/>
      <c r="G3" s="46"/>
      <c r="H3" s="46"/>
      <c r="I3" s="46"/>
      <c r="J3" s="46"/>
      <c r="K3" s="46"/>
      <c r="L3" s="46"/>
      <c r="M3" s="46"/>
      <c r="N3" s="40"/>
      <c r="O3" s="40"/>
    </row>
    <row r="4" spans="1:55" s="1" customFormat="1" x14ac:dyDescent="0.25">
      <c r="G4" s="87" t="s">
        <v>92</v>
      </c>
      <c r="H4" s="87"/>
      <c r="I4" s="87"/>
      <c r="J4" s="87"/>
      <c r="K4" s="87"/>
      <c r="L4" s="87"/>
      <c r="M4" s="87"/>
    </row>
    <row r="5" spans="1:55" s="52" customFormat="1" x14ac:dyDescent="0.25">
      <c r="A5" s="47"/>
      <c r="B5" s="48" t="e" cm="1" vm="2">
        <f t="array" ref="B5:AB5">IF(TRANSPOSE(A6:A32)=0,"-",TRANSPOSE(A6:A32))</f>
        <v>#VALUE!</v>
      </c>
      <c r="C5" s="49" t="str">
        <v>-</v>
      </c>
      <c r="D5" s="48" t="str">
        <v>-</v>
      </c>
      <c r="E5" s="48" t="str">
        <v>-</v>
      </c>
      <c r="F5" s="48" t="str">
        <v>-</v>
      </c>
      <c r="G5" s="48" t="str">
        <v>-</v>
      </c>
      <c r="H5" s="48" t="str">
        <v>-</v>
      </c>
      <c r="I5" s="48" t="str">
        <v>-</v>
      </c>
      <c r="J5" s="48" t="str">
        <v>-</v>
      </c>
      <c r="K5" s="48" t="str">
        <v>-</v>
      </c>
      <c r="L5" s="48" t="str">
        <v>-</v>
      </c>
      <c r="M5" s="48" t="str">
        <v>-</v>
      </c>
      <c r="N5" s="48" t="str">
        <v>-</v>
      </c>
      <c r="O5" s="48" t="str">
        <v>-</v>
      </c>
      <c r="P5" s="48" t="str">
        <v>-</v>
      </c>
      <c r="Q5" s="48" t="str">
        <v>-</v>
      </c>
      <c r="R5" s="48" t="str">
        <v>-</v>
      </c>
      <c r="S5" s="48" t="str">
        <v>-</v>
      </c>
      <c r="T5" s="48" t="str">
        <v>-</v>
      </c>
      <c r="U5" s="48" t="str">
        <v>-</v>
      </c>
      <c r="V5" s="48" t="str">
        <v>-</v>
      </c>
      <c r="W5" s="48" t="str">
        <v>-</v>
      </c>
      <c r="X5" s="48" t="str">
        <v>-</v>
      </c>
      <c r="Y5" s="48" t="str">
        <v>-</v>
      </c>
      <c r="Z5" s="48" t="str">
        <v>-</v>
      </c>
      <c r="AA5" s="48" t="str">
        <v>-</v>
      </c>
      <c r="AB5" s="48" t="str">
        <v>-</v>
      </c>
      <c r="AC5" s="1"/>
      <c r="AD5" s="1"/>
      <c r="AE5" s="1"/>
      <c r="AF5" s="1"/>
      <c r="AG5" s="1"/>
      <c r="AH5" s="1"/>
      <c r="AI5" s="1"/>
      <c r="AJ5" s="1"/>
      <c r="AK5" s="1"/>
      <c r="AL5" s="1"/>
      <c r="AM5" s="1"/>
      <c r="AN5" s="1"/>
      <c r="AO5" s="1"/>
      <c r="AP5" s="1"/>
      <c r="AQ5" s="1"/>
      <c r="AR5" s="1"/>
      <c r="AS5" s="1"/>
      <c r="AT5" s="1"/>
      <c r="AU5" s="1"/>
      <c r="AV5" s="1"/>
      <c r="AW5" s="1"/>
      <c r="AX5" s="1"/>
      <c r="AY5" s="1"/>
      <c r="AZ5" s="1"/>
      <c r="BA5" s="1"/>
      <c r="BB5" s="50"/>
      <c r="BC5" s="51"/>
    </row>
    <row r="6" spans="1:55" x14ac:dyDescent="0.25">
      <c r="A6" s="49" t="e" cm="1" vm="2">
        <f t="array" ref="A6">_xlfn._xlws.FILTER('AHP(Structure the hierarchy)'!B6:B33, 'AHP(Structure the hierarchy)'!B6:B33&lt;&gt;"")</f>
        <v>#VALUE!</v>
      </c>
      <c r="B6" s="53">
        <v>1</v>
      </c>
      <c r="C6" s="42"/>
      <c r="D6" s="42"/>
      <c r="E6" s="42"/>
      <c r="F6" s="42"/>
      <c r="G6" s="42"/>
      <c r="H6" s="42"/>
      <c r="I6" s="42"/>
      <c r="J6" s="42"/>
      <c r="K6" s="42"/>
      <c r="L6" s="43"/>
      <c r="M6" s="43"/>
      <c r="N6" s="43"/>
      <c r="O6" s="43"/>
      <c r="P6" s="43"/>
      <c r="Q6" s="42"/>
      <c r="R6" s="42"/>
      <c r="S6" s="42"/>
      <c r="T6" s="42"/>
      <c r="U6" s="42"/>
      <c r="V6" s="42"/>
      <c r="W6" s="42"/>
      <c r="X6" s="42"/>
      <c r="Y6" s="42"/>
      <c r="Z6" s="42"/>
      <c r="AA6" s="42"/>
      <c r="AB6" s="42"/>
      <c r="AC6" s="1"/>
      <c r="AD6" s="1"/>
      <c r="AE6" s="1"/>
      <c r="AF6" s="1"/>
      <c r="AG6" s="1"/>
      <c r="AH6" s="1"/>
      <c r="AI6" s="1"/>
      <c r="AJ6" s="1"/>
      <c r="AK6" s="1"/>
      <c r="AL6" s="1"/>
      <c r="AM6" s="1"/>
      <c r="AN6" s="1"/>
      <c r="AO6" s="1"/>
      <c r="AP6" s="1"/>
      <c r="AQ6" s="1"/>
      <c r="AR6" s="1"/>
      <c r="AS6" s="1"/>
      <c r="AT6" s="1"/>
      <c r="AU6" s="1"/>
      <c r="AV6" s="1"/>
      <c r="AW6" s="1"/>
      <c r="AX6" s="1"/>
      <c r="AY6" s="1"/>
      <c r="AZ6" s="1"/>
      <c r="BA6" s="1"/>
      <c r="BB6" s="1"/>
      <c r="BC6" s="1"/>
    </row>
    <row r="7" spans="1:55" x14ac:dyDescent="0.25">
      <c r="A7" s="49"/>
      <c r="B7" s="52">
        <f>IF(C6=0,0,1/C6)</f>
        <v>0</v>
      </c>
      <c r="C7" s="53">
        <v>1</v>
      </c>
      <c r="D7" s="42"/>
      <c r="E7" s="42"/>
      <c r="F7" s="42"/>
      <c r="G7" s="42"/>
      <c r="H7" s="42"/>
      <c r="I7" s="42"/>
      <c r="J7" s="42"/>
      <c r="K7" s="42"/>
      <c r="L7" s="43"/>
      <c r="M7" s="43"/>
      <c r="N7" s="43"/>
      <c r="O7" s="43"/>
      <c r="P7" s="43"/>
      <c r="Q7" s="42"/>
      <c r="R7" s="42"/>
      <c r="S7" s="42"/>
      <c r="T7" s="42"/>
      <c r="U7" s="42"/>
      <c r="V7" s="42"/>
      <c r="W7" s="42"/>
      <c r="X7" s="42"/>
      <c r="Y7" s="42"/>
      <c r="Z7" s="42"/>
      <c r="AA7" s="42"/>
      <c r="AB7" s="42"/>
      <c r="AC7" s="1"/>
      <c r="AD7" s="1"/>
      <c r="AE7" s="1"/>
      <c r="AF7" s="1"/>
      <c r="AG7" s="1"/>
      <c r="AH7" s="1"/>
      <c r="AI7" s="1"/>
      <c r="AJ7" s="1"/>
      <c r="AK7" s="1"/>
      <c r="AL7" s="1"/>
      <c r="AM7" s="1"/>
      <c r="AN7" s="1"/>
      <c r="AO7" s="1"/>
      <c r="AP7" s="1"/>
      <c r="AQ7" s="1"/>
      <c r="AR7" s="1"/>
      <c r="AS7" s="1"/>
      <c r="AT7" s="1"/>
      <c r="AU7" s="1"/>
      <c r="AV7" s="1"/>
      <c r="AW7" s="1"/>
      <c r="AX7" s="1"/>
      <c r="AY7" s="1"/>
      <c r="AZ7" s="1"/>
      <c r="BA7" s="1"/>
      <c r="BB7" s="1"/>
      <c r="BC7" s="1"/>
    </row>
    <row r="8" spans="1:55" x14ac:dyDescent="0.25">
      <c r="A8" s="49"/>
      <c r="B8" s="52">
        <f>IF(D6=0,0,1/D6)</f>
        <v>0</v>
      </c>
      <c r="C8" s="52">
        <f>IF(D7=0,0,1/D7)</f>
        <v>0</v>
      </c>
      <c r="D8" s="53">
        <v>1</v>
      </c>
      <c r="E8" s="42"/>
      <c r="F8" s="42"/>
      <c r="G8" s="42"/>
      <c r="H8" s="42"/>
      <c r="I8" s="42"/>
      <c r="J8" s="42"/>
      <c r="K8" s="42"/>
      <c r="L8" s="43"/>
      <c r="M8" s="43"/>
      <c r="N8" s="43"/>
      <c r="O8" s="43"/>
      <c r="P8" s="43"/>
      <c r="Q8" s="42"/>
      <c r="R8" s="42"/>
      <c r="S8" s="42"/>
      <c r="T8" s="42"/>
      <c r="U8" s="42"/>
      <c r="V8" s="42"/>
      <c r="W8" s="42"/>
      <c r="X8" s="42"/>
      <c r="Y8" s="42"/>
      <c r="Z8" s="42"/>
      <c r="AA8" s="42"/>
      <c r="AB8" s="42"/>
      <c r="AC8" s="1"/>
      <c r="AD8" s="1"/>
      <c r="AE8" s="1"/>
      <c r="AF8" s="1"/>
      <c r="AG8" s="1"/>
      <c r="AH8" s="1"/>
      <c r="AI8" s="1"/>
      <c r="AJ8" s="1"/>
      <c r="AK8" s="1"/>
      <c r="AL8" s="1"/>
      <c r="AM8" s="1"/>
      <c r="AN8" s="1"/>
      <c r="AO8" s="1"/>
      <c r="AP8" s="1"/>
      <c r="AQ8" s="1"/>
      <c r="AR8" s="1"/>
      <c r="AS8" s="1"/>
      <c r="AT8" s="1"/>
      <c r="AU8" s="1"/>
      <c r="AV8" s="1"/>
      <c r="AW8" s="1"/>
      <c r="AX8" s="1"/>
      <c r="AY8" s="1"/>
      <c r="AZ8" s="1"/>
      <c r="BA8" s="1"/>
      <c r="BB8" s="1"/>
      <c r="BC8" s="1"/>
    </row>
    <row r="9" spans="1:55" x14ac:dyDescent="0.25">
      <c r="A9" s="49"/>
      <c r="B9" s="52">
        <f>IF(E6=0,0,1/E6)</f>
        <v>0</v>
      </c>
      <c r="C9" s="52">
        <f>IF(E7=0,0,1/E7)</f>
        <v>0</v>
      </c>
      <c r="D9" s="52">
        <f>IF(E8=0,0,1/E8)</f>
        <v>0</v>
      </c>
      <c r="E9" s="53">
        <v>1</v>
      </c>
      <c r="F9" s="42"/>
      <c r="G9" s="42"/>
      <c r="H9" s="42"/>
      <c r="I9" s="42"/>
      <c r="J9" s="42"/>
      <c r="K9" s="42"/>
      <c r="L9" s="43"/>
      <c r="M9" s="43"/>
      <c r="N9" s="43"/>
      <c r="O9" s="43"/>
      <c r="P9" s="43"/>
      <c r="Q9" s="42"/>
      <c r="R9" s="42"/>
      <c r="S9" s="42"/>
      <c r="T9" s="42"/>
      <c r="U9" s="42"/>
      <c r="V9" s="42"/>
      <c r="W9" s="42"/>
      <c r="X9" s="42"/>
      <c r="Y9" s="42"/>
      <c r="Z9" s="42"/>
      <c r="AA9" s="42"/>
      <c r="AB9" s="42"/>
      <c r="AC9" s="1"/>
      <c r="AD9" s="1"/>
      <c r="AE9" s="1"/>
      <c r="AF9" s="1"/>
      <c r="AG9" s="1"/>
      <c r="AH9" s="1"/>
      <c r="AI9" s="1"/>
      <c r="AJ9" s="1"/>
      <c r="AK9" s="1"/>
      <c r="AL9" s="1"/>
      <c r="AM9" s="1"/>
      <c r="AN9" s="1"/>
      <c r="AO9" s="1"/>
      <c r="AP9" s="1"/>
      <c r="AQ9" s="1"/>
      <c r="AR9" s="1"/>
      <c r="AS9" s="1"/>
      <c r="AT9" s="1"/>
      <c r="AU9" s="1"/>
      <c r="AV9" s="1"/>
      <c r="AW9" s="1"/>
      <c r="AX9" s="1"/>
      <c r="AY9" s="1"/>
      <c r="AZ9" s="1"/>
      <c r="BA9" s="1"/>
      <c r="BB9" s="1"/>
      <c r="BC9" s="1"/>
    </row>
    <row r="10" spans="1:55" x14ac:dyDescent="0.25">
      <c r="A10" s="49"/>
      <c r="B10" s="52">
        <f>IF(F6=0,0,1/F6)</f>
        <v>0</v>
      </c>
      <c r="C10" s="52">
        <f>IF(F7=0,0,1/F7)</f>
        <v>0</v>
      </c>
      <c r="D10" s="52">
        <f>IF(F8=0,0,1/F8)</f>
        <v>0</v>
      </c>
      <c r="E10" s="52">
        <f>IF(F9=0,0,1/F9)</f>
        <v>0</v>
      </c>
      <c r="F10" s="53">
        <v>1</v>
      </c>
      <c r="G10" s="42"/>
      <c r="H10" s="42"/>
      <c r="I10" s="42"/>
      <c r="J10" s="42"/>
      <c r="K10" s="42"/>
      <c r="L10" s="43"/>
      <c r="M10" s="43"/>
      <c r="N10" s="43"/>
      <c r="O10" s="43"/>
      <c r="P10" s="43"/>
      <c r="Q10" s="42"/>
      <c r="R10" s="42"/>
      <c r="S10" s="42"/>
      <c r="T10" s="42"/>
      <c r="U10" s="42"/>
      <c r="V10" s="42"/>
      <c r="W10" s="42"/>
      <c r="X10" s="42"/>
      <c r="Y10" s="42"/>
      <c r="Z10" s="42"/>
      <c r="AA10" s="42"/>
      <c r="AB10" s="42"/>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row>
    <row r="11" spans="1:55" x14ac:dyDescent="0.25">
      <c r="A11" s="49"/>
      <c r="B11" s="52">
        <f>IF(G6=0,0,1/G6)</f>
        <v>0</v>
      </c>
      <c r="C11" s="52">
        <f>IF(G7=0,0,1/G7)</f>
        <v>0</v>
      </c>
      <c r="D11" s="52">
        <f>IF(G8=0,0,1/G8)</f>
        <v>0</v>
      </c>
      <c r="E11" s="52">
        <f>IF(G9=0,0,1/G9)</f>
        <v>0</v>
      </c>
      <c r="F11" s="52">
        <f>IF(G10=0,0,1/G10)</f>
        <v>0</v>
      </c>
      <c r="G11" s="53">
        <v>1</v>
      </c>
      <c r="H11" s="42"/>
      <c r="I11" s="42"/>
      <c r="J11" s="42"/>
      <c r="K11" s="42"/>
      <c r="L11" s="43"/>
      <c r="M11" s="43"/>
      <c r="N11" s="43"/>
      <c r="O11" s="43"/>
      <c r="P11" s="43"/>
      <c r="Q11" s="42"/>
      <c r="R11" s="42"/>
      <c r="S11" s="42"/>
      <c r="T11" s="42"/>
      <c r="U11" s="42"/>
      <c r="V11" s="42"/>
      <c r="W11" s="42"/>
      <c r="X11" s="42"/>
      <c r="Y11" s="42"/>
      <c r="Z11" s="42"/>
      <c r="AA11" s="42"/>
      <c r="AB11" s="42"/>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row>
    <row r="12" spans="1:55" x14ac:dyDescent="0.25">
      <c r="A12" s="49"/>
      <c r="B12" s="52">
        <f>IF(H6=0,0,1/H6)</f>
        <v>0</v>
      </c>
      <c r="C12" s="52">
        <f>IF(H7=0,0,1/H7)</f>
        <v>0</v>
      </c>
      <c r="D12" s="52">
        <f>IF(H8=0,0,1/H8)</f>
        <v>0</v>
      </c>
      <c r="E12" s="52">
        <f>IF(H9=0,0,1/H9)</f>
        <v>0</v>
      </c>
      <c r="F12" s="52">
        <f>IF(H10=0,0,1/H10)</f>
        <v>0</v>
      </c>
      <c r="G12" s="52">
        <f>IF(H11=0,0,1/H11)</f>
        <v>0</v>
      </c>
      <c r="H12" s="53">
        <v>1</v>
      </c>
      <c r="I12" s="42"/>
      <c r="J12" s="42"/>
      <c r="K12" s="42"/>
      <c r="L12" s="43"/>
      <c r="M12" s="43"/>
      <c r="N12" s="43"/>
      <c r="O12" s="43"/>
      <c r="P12" s="43"/>
      <c r="Q12" s="42"/>
      <c r="R12" s="42"/>
      <c r="S12" s="42"/>
      <c r="T12" s="42"/>
      <c r="U12" s="42"/>
      <c r="V12" s="42"/>
      <c r="W12" s="42"/>
      <c r="X12" s="42"/>
      <c r="Y12" s="42"/>
      <c r="Z12" s="42"/>
      <c r="AA12" s="42"/>
      <c r="AB12" s="42"/>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row>
    <row r="13" spans="1:55" x14ac:dyDescent="0.25">
      <c r="A13" s="49"/>
      <c r="B13" s="52">
        <f>IF(I6=0,0,1/I6)</f>
        <v>0</v>
      </c>
      <c r="C13" s="52">
        <f>IF(I7=0,0,1/I7)</f>
        <v>0</v>
      </c>
      <c r="D13" s="52">
        <f>IF(I8=0,0,1/I8)</f>
        <v>0</v>
      </c>
      <c r="E13" s="52">
        <f>IF(I9=0,0,1/I9)</f>
        <v>0</v>
      </c>
      <c r="F13" s="52">
        <f>IF(I10=0,0,1/I10)</f>
        <v>0</v>
      </c>
      <c r="G13" s="52">
        <f>IF(I11=0,0,1/I11)</f>
        <v>0</v>
      </c>
      <c r="H13" s="52">
        <f>IF(I12=0,0,1/I12)</f>
        <v>0</v>
      </c>
      <c r="I13" s="53">
        <v>1</v>
      </c>
      <c r="J13" s="42"/>
      <c r="K13" s="42"/>
      <c r="L13" s="42"/>
      <c r="M13" s="42"/>
      <c r="N13" s="43"/>
      <c r="O13" s="43"/>
      <c r="P13" s="43"/>
      <c r="Q13" s="42"/>
      <c r="R13" s="42"/>
      <c r="S13" s="42"/>
      <c r="T13" s="42"/>
      <c r="U13" s="42"/>
      <c r="V13" s="42"/>
      <c r="W13" s="42"/>
      <c r="X13" s="42"/>
      <c r="Y13" s="42"/>
      <c r="Z13" s="42"/>
      <c r="AA13" s="42"/>
      <c r="AB13" s="42"/>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row>
    <row r="14" spans="1:55" x14ac:dyDescent="0.25">
      <c r="A14" s="49"/>
      <c r="B14" s="52">
        <f>IF(J6=0,0,1/J6)</f>
        <v>0</v>
      </c>
      <c r="C14" s="52">
        <f>IF(J7=0,0,1/J7)</f>
        <v>0</v>
      </c>
      <c r="D14" s="52">
        <f>IF(J8=0,0,1/J8)</f>
        <v>0</v>
      </c>
      <c r="E14" s="52">
        <f>IF(J9=0,0,1/J9)</f>
        <v>0</v>
      </c>
      <c r="F14" s="52">
        <f>IF(J10=0,0,1/J10)</f>
        <v>0</v>
      </c>
      <c r="G14" s="52">
        <f>IF(J11=0,0,1/J11)</f>
        <v>0</v>
      </c>
      <c r="H14" s="52">
        <f>IF(J12=0,0,1/J12)</f>
        <v>0</v>
      </c>
      <c r="I14" s="52">
        <f>IF(J13=0,0,1/J13)</f>
        <v>0</v>
      </c>
      <c r="J14" s="53">
        <v>1</v>
      </c>
      <c r="K14" s="42"/>
      <c r="L14" s="42"/>
      <c r="M14" s="42"/>
      <c r="N14" s="42"/>
      <c r="O14" s="42"/>
      <c r="P14" s="42"/>
      <c r="Q14" s="42"/>
      <c r="R14" s="42"/>
      <c r="S14" s="42"/>
      <c r="T14" s="42"/>
      <c r="U14" s="42"/>
      <c r="V14" s="42"/>
      <c r="W14" s="42"/>
      <c r="X14" s="42"/>
      <c r="Y14" s="42"/>
      <c r="Z14" s="42"/>
      <c r="AA14" s="42"/>
      <c r="AB14" s="42"/>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row>
    <row r="15" spans="1:55" x14ac:dyDescent="0.25">
      <c r="A15" s="49"/>
      <c r="B15" s="52">
        <f>IF(K6=0,0,1/K6)</f>
        <v>0</v>
      </c>
      <c r="C15" s="52">
        <f>IF(K7=0,0,1/K7)</f>
        <v>0</v>
      </c>
      <c r="D15" s="52">
        <f>IF(K8=0,0,1/K8)</f>
        <v>0</v>
      </c>
      <c r="E15" s="52">
        <f>IF(K9=0,0,1/K9)</f>
        <v>0</v>
      </c>
      <c r="F15" s="52">
        <f>IF(K10=0,0,1/K10)</f>
        <v>0</v>
      </c>
      <c r="G15" s="52">
        <f>IF(K11=0,0,1/K11)</f>
        <v>0</v>
      </c>
      <c r="H15" s="52">
        <f>IF(K12=0,0,1/K12)</f>
        <v>0</v>
      </c>
      <c r="I15" s="52">
        <f>IF(K13=0,0,1/K13)</f>
        <v>0</v>
      </c>
      <c r="J15" s="52">
        <f>IF(K14=0,0,1/K14)</f>
        <v>0</v>
      </c>
      <c r="K15" s="53">
        <v>1</v>
      </c>
      <c r="L15" s="42"/>
      <c r="M15" s="42"/>
      <c r="N15" s="42"/>
      <c r="O15" s="42"/>
      <c r="P15" s="42"/>
      <c r="Q15" s="42"/>
      <c r="R15" s="42"/>
      <c r="S15" s="42"/>
      <c r="T15" s="42"/>
      <c r="U15" s="42"/>
      <c r="V15" s="42"/>
      <c r="W15" s="42"/>
      <c r="X15" s="42"/>
      <c r="Y15" s="42"/>
      <c r="Z15" s="42"/>
      <c r="AA15" s="42"/>
      <c r="AB15" s="42"/>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row>
    <row r="16" spans="1:55" x14ac:dyDescent="0.25">
      <c r="A16" s="49"/>
      <c r="B16" s="52">
        <f>IF(L6=0,0,1/L6)</f>
        <v>0</v>
      </c>
      <c r="C16" s="52">
        <f>IF(L7=0,0,1/L7)</f>
        <v>0</v>
      </c>
      <c r="D16" s="52">
        <f>IF(L8=0,0,1/L8)</f>
        <v>0</v>
      </c>
      <c r="E16" s="52">
        <f>IF(L9=0,0,1/L9)</f>
        <v>0</v>
      </c>
      <c r="F16" s="52">
        <f>IF(L10=0,0,1/L10)</f>
        <v>0</v>
      </c>
      <c r="G16" s="52">
        <f>IF(L11=0,0,1/L11)</f>
        <v>0</v>
      </c>
      <c r="H16" s="52">
        <f>IF(L12=0,0,1/L12)</f>
        <v>0</v>
      </c>
      <c r="I16" s="52">
        <f>IF(L13=0,0,1/L13)</f>
        <v>0</v>
      </c>
      <c r="J16" s="52">
        <f>IF(L14=0,0,1/L14)</f>
        <v>0</v>
      </c>
      <c r="K16" s="52">
        <f>IF(L15=0,0,1/L15)</f>
        <v>0</v>
      </c>
      <c r="L16" s="53">
        <v>1</v>
      </c>
      <c r="M16" s="42"/>
      <c r="N16" s="42"/>
      <c r="O16" s="42"/>
      <c r="P16" s="42"/>
      <c r="Q16" s="42"/>
      <c r="R16" s="42"/>
      <c r="S16" s="42"/>
      <c r="T16" s="42"/>
      <c r="U16" s="42"/>
      <c r="V16" s="42"/>
      <c r="W16" s="42"/>
      <c r="X16" s="42"/>
      <c r="Y16" s="42"/>
      <c r="Z16" s="42"/>
      <c r="AA16" s="42"/>
      <c r="AB16" s="42"/>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row>
    <row r="17" spans="1:55" x14ac:dyDescent="0.25">
      <c r="A17" s="49"/>
      <c r="B17" s="52">
        <f>IF(M6=0,0,1/M6)</f>
        <v>0</v>
      </c>
      <c r="C17" s="52">
        <f>IF(M7=0,0,1/M7)</f>
        <v>0</v>
      </c>
      <c r="D17" s="52">
        <f>IF(M8=0,0,1/M8)</f>
        <v>0</v>
      </c>
      <c r="E17" s="52">
        <f>IF(M9=0,0,1/M9)</f>
        <v>0</v>
      </c>
      <c r="F17" s="52">
        <f>IF(M10=0,0,1/M10)</f>
        <v>0</v>
      </c>
      <c r="G17" s="52">
        <f>IF(M11=0,0,1/M11)</f>
        <v>0</v>
      </c>
      <c r="H17" s="52">
        <f>IF(M12=0,0,1/M12)</f>
        <v>0</v>
      </c>
      <c r="I17" s="52">
        <f>IF(M13=0,0,1/M13)</f>
        <v>0</v>
      </c>
      <c r="J17" s="52">
        <f>IF(M14=0,0,1/M14)</f>
        <v>0</v>
      </c>
      <c r="K17" s="52">
        <f>IF(M15=0,0,1/M15)</f>
        <v>0</v>
      </c>
      <c r="L17" s="52">
        <f>IF(M16=0,0,1/M16)</f>
        <v>0</v>
      </c>
      <c r="M17" s="53">
        <v>1</v>
      </c>
      <c r="N17" s="42"/>
      <c r="O17" s="42"/>
      <c r="P17" s="42"/>
      <c r="Q17" s="42"/>
      <c r="R17" s="42"/>
      <c r="S17" s="42"/>
      <c r="T17" s="42"/>
      <c r="U17" s="42"/>
      <c r="V17" s="42"/>
      <c r="W17" s="42"/>
      <c r="X17" s="42"/>
      <c r="Y17" s="42"/>
      <c r="Z17" s="42"/>
      <c r="AA17" s="42"/>
      <c r="AB17" s="42"/>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row>
    <row r="18" spans="1:55" x14ac:dyDescent="0.25">
      <c r="A18" s="49"/>
      <c r="B18" s="52">
        <f>IF(N6=0,0,1/N6)</f>
        <v>0</v>
      </c>
      <c r="C18" s="52">
        <f>IF(N7=0,0,1/N7)</f>
        <v>0</v>
      </c>
      <c r="D18" s="52">
        <f>IF(N8=0,0,1/N8)</f>
        <v>0</v>
      </c>
      <c r="E18" s="52">
        <f>IF(N9=0,0,1/N9)</f>
        <v>0</v>
      </c>
      <c r="F18" s="52">
        <f>IF(N10=0,0,1/N10)</f>
        <v>0</v>
      </c>
      <c r="G18" s="52">
        <f>IF(N11=0,0,1/N11)</f>
        <v>0</v>
      </c>
      <c r="H18" s="52">
        <f>IF(N12=0,0,1/N12)</f>
        <v>0</v>
      </c>
      <c r="I18" s="52">
        <f>IF(N13=0,0,1/N13)</f>
        <v>0</v>
      </c>
      <c r="J18" s="52">
        <f>IF(N14=0,0,1/N14)</f>
        <v>0</v>
      </c>
      <c r="K18" s="52">
        <f>IF(N15=0,0,1/N15)</f>
        <v>0</v>
      </c>
      <c r="L18" s="52">
        <f>IF(N16=0,0,1/N16)</f>
        <v>0</v>
      </c>
      <c r="M18" s="52">
        <f>IF(N17=0,0,1/N17)</f>
        <v>0</v>
      </c>
      <c r="N18" s="53">
        <v>1</v>
      </c>
      <c r="O18" s="42"/>
      <c r="P18" s="42"/>
      <c r="Q18" s="42"/>
      <c r="R18" s="42"/>
      <c r="S18" s="42"/>
      <c r="T18" s="42"/>
      <c r="U18" s="42"/>
      <c r="V18" s="42"/>
      <c r="W18" s="42"/>
      <c r="X18" s="42"/>
      <c r="Y18" s="42"/>
      <c r="Z18" s="42"/>
      <c r="AA18" s="42"/>
      <c r="AB18" s="42"/>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row>
    <row r="19" spans="1:55" x14ac:dyDescent="0.25">
      <c r="A19" s="49"/>
      <c r="B19" s="52">
        <f>IF(O6=0,0,1/O6)</f>
        <v>0</v>
      </c>
      <c r="C19" s="52">
        <f>IF(O7=0,0,1/O7)</f>
        <v>0</v>
      </c>
      <c r="D19" s="52">
        <f>IF(O8=0,0,1/O8)</f>
        <v>0</v>
      </c>
      <c r="E19" s="52">
        <f>IF(O9=0,0,1/O9)</f>
        <v>0</v>
      </c>
      <c r="F19" s="52">
        <f>IF(O10=0,0,1/O10)</f>
        <v>0</v>
      </c>
      <c r="G19" s="52">
        <f>IF(O11=0,0,1/O11)</f>
        <v>0</v>
      </c>
      <c r="H19" s="52">
        <f>IF(O12=0,0,1/O12)</f>
        <v>0</v>
      </c>
      <c r="I19" s="52">
        <f>IF(O13=0,0,1/O13)</f>
        <v>0</v>
      </c>
      <c r="J19" s="52">
        <f>IF(O14=0,0,1/O14)</f>
        <v>0</v>
      </c>
      <c r="K19" s="52">
        <f>IF(O15=0,0,1/O15)</f>
        <v>0</v>
      </c>
      <c r="L19" s="52">
        <f>IF(O16=0,0,1/O16)</f>
        <v>0</v>
      </c>
      <c r="M19" s="52">
        <f>IF(O17=0,0,1/O17)</f>
        <v>0</v>
      </c>
      <c r="N19" s="52">
        <f>IF(O18=0,0,1/O18)</f>
        <v>0</v>
      </c>
      <c r="O19" s="53">
        <v>1</v>
      </c>
      <c r="P19" s="42"/>
      <c r="Q19" s="42"/>
      <c r="R19" s="42"/>
      <c r="S19" s="42"/>
      <c r="T19" s="42"/>
      <c r="U19" s="42"/>
      <c r="V19" s="42"/>
      <c r="W19" s="42"/>
      <c r="X19" s="42"/>
      <c r="Y19" s="42"/>
      <c r="Z19" s="42"/>
      <c r="AA19" s="42"/>
      <c r="AB19" s="42"/>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row>
    <row r="20" spans="1:55" x14ac:dyDescent="0.25">
      <c r="A20" s="49"/>
      <c r="B20" s="52">
        <f>IF(P6=0,0,1/P6)</f>
        <v>0</v>
      </c>
      <c r="C20" s="52">
        <f>IF(P7=0,0,1/P7)</f>
        <v>0</v>
      </c>
      <c r="D20" s="52">
        <f>IF(P8=0,0,1/P8)</f>
        <v>0</v>
      </c>
      <c r="E20" s="52">
        <f>IF(P9=0,0,1/P9)</f>
        <v>0</v>
      </c>
      <c r="F20" s="52">
        <f>IF(P10=0,0,1/P10)</f>
        <v>0</v>
      </c>
      <c r="G20" s="52">
        <f>IF(P11=0,0,1/P11)</f>
        <v>0</v>
      </c>
      <c r="H20" s="52">
        <f>IF(P12=0,0,1/P12)</f>
        <v>0</v>
      </c>
      <c r="I20" s="52">
        <f>IF(P13=0,0,1/P13)</f>
        <v>0</v>
      </c>
      <c r="J20" s="52">
        <f>IF(P14=0,0,1/P14)</f>
        <v>0</v>
      </c>
      <c r="K20" s="52">
        <f>IF(P15=0,0,1/P15)</f>
        <v>0</v>
      </c>
      <c r="L20" s="52">
        <f>IF(P16=0,0,1/P16)</f>
        <v>0</v>
      </c>
      <c r="M20" s="52">
        <f>IF(P17=0,0,1/P17)</f>
        <v>0</v>
      </c>
      <c r="N20" s="52">
        <f>IF(P18=0,0,1/P18)</f>
        <v>0</v>
      </c>
      <c r="O20" s="52">
        <f>IF(P19=0,0,1/P19)</f>
        <v>0</v>
      </c>
      <c r="P20" s="53">
        <v>1</v>
      </c>
      <c r="Q20" s="42"/>
      <c r="R20" s="42"/>
      <c r="S20" s="42"/>
      <c r="T20" s="42"/>
      <c r="U20" s="42"/>
      <c r="V20" s="42"/>
      <c r="W20" s="42"/>
      <c r="X20" s="42"/>
      <c r="Y20" s="42"/>
      <c r="Z20" s="42"/>
      <c r="AA20" s="42"/>
      <c r="AB20" s="42"/>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row>
    <row r="21" spans="1:55" x14ac:dyDescent="0.25">
      <c r="A21" s="49"/>
      <c r="B21" s="52">
        <f>IF(Q6=0,0,1/Q6)</f>
        <v>0</v>
      </c>
      <c r="C21" s="52">
        <f>IF(Q7=0,0,1/Q7)</f>
        <v>0</v>
      </c>
      <c r="D21" s="52">
        <f>IF(Q8=0,0,1/Q8)</f>
        <v>0</v>
      </c>
      <c r="E21" s="52">
        <f>IF(Q9=0,0,1/Q9)</f>
        <v>0</v>
      </c>
      <c r="F21" s="52">
        <f>IF(Q10=0,0,1/Q10)</f>
        <v>0</v>
      </c>
      <c r="G21" s="52">
        <f>IF(Q11=0,0,1/Q11)</f>
        <v>0</v>
      </c>
      <c r="H21" s="52">
        <f>IF(Q12=0,0,1/Q12)</f>
        <v>0</v>
      </c>
      <c r="I21" s="52">
        <f>IF(Q13=0,0,1/Q13)</f>
        <v>0</v>
      </c>
      <c r="J21" s="52">
        <f>IF(Q14=0,0,1/Q14)</f>
        <v>0</v>
      </c>
      <c r="K21" s="52">
        <f>IF(Q15=0,0,1/Q15)</f>
        <v>0</v>
      </c>
      <c r="L21" s="52">
        <f>IF(Q16=0,0,1/Q16)</f>
        <v>0</v>
      </c>
      <c r="M21" s="52">
        <f>IF(Q17=0,0,1/Q17)</f>
        <v>0</v>
      </c>
      <c r="N21" s="52">
        <f>IF(Q18=0,0,1/Q18)</f>
        <v>0</v>
      </c>
      <c r="O21" s="52">
        <f>IF(Q19=0,0,1/Q19)</f>
        <v>0</v>
      </c>
      <c r="P21" s="52">
        <f>IF(Q20=0,0,1/Q20)</f>
        <v>0</v>
      </c>
      <c r="Q21" s="53">
        <v>1</v>
      </c>
      <c r="R21" s="42"/>
      <c r="S21" s="42"/>
      <c r="T21" s="42"/>
      <c r="U21" s="42"/>
      <c r="V21" s="42"/>
      <c r="W21" s="42"/>
      <c r="X21" s="42"/>
      <c r="Y21" s="42"/>
      <c r="Z21" s="42"/>
      <c r="AA21" s="42"/>
      <c r="AB21" s="42"/>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row>
    <row r="22" spans="1:55" x14ac:dyDescent="0.25">
      <c r="A22" s="49"/>
      <c r="B22" s="52">
        <f>IF(R6=0,0,1/R6)</f>
        <v>0</v>
      </c>
      <c r="C22" s="52">
        <f>IF(R7=0,0,1/R7)</f>
        <v>0</v>
      </c>
      <c r="D22" s="52">
        <f>IF(R8=0,0,1/R8)</f>
        <v>0</v>
      </c>
      <c r="E22" s="52">
        <f>IF(R9=0,0,1/R9)</f>
        <v>0</v>
      </c>
      <c r="F22" s="52">
        <f>IF(R10=0,0,1/R10)</f>
        <v>0</v>
      </c>
      <c r="G22" s="52">
        <f>IF(R11=0,0,1/R11)</f>
        <v>0</v>
      </c>
      <c r="H22" s="52">
        <f>IF(R12=0,0,1/R12)</f>
        <v>0</v>
      </c>
      <c r="I22" s="52">
        <f>IF(R13=0,0,1/R13)</f>
        <v>0</v>
      </c>
      <c r="J22" s="52">
        <f>IF(R14=0,0,1/R14)</f>
        <v>0</v>
      </c>
      <c r="K22" s="52">
        <f>IF(R15=0,0,1/R15)</f>
        <v>0</v>
      </c>
      <c r="L22" s="52">
        <f>IF(R16=0,0,1/R16)</f>
        <v>0</v>
      </c>
      <c r="M22" s="52">
        <f>IF(R17=0,0,1/R17)</f>
        <v>0</v>
      </c>
      <c r="N22" s="52">
        <f>IF(R18=0,0,1/R18)</f>
        <v>0</v>
      </c>
      <c r="O22" s="52">
        <f>IF(R19=0,0,1/R19)</f>
        <v>0</v>
      </c>
      <c r="P22" s="52">
        <f>IF(R20=0,0,1/R20)</f>
        <v>0</v>
      </c>
      <c r="Q22" s="52">
        <f>IF(R21=0,0,1/R21)</f>
        <v>0</v>
      </c>
      <c r="R22" s="53">
        <v>1</v>
      </c>
      <c r="S22" s="42"/>
      <c r="T22" s="42"/>
      <c r="U22" s="42"/>
      <c r="V22" s="42"/>
      <c r="W22" s="42"/>
      <c r="X22" s="42"/>
      <c r="Y22" s="42"/>
      <c r="Z22" s="42"/>
      <c r="AA22" s="42"/>
      <c r="AB22" s="42"/>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row>
    <row r="23" spans="1:55" x14ac:dyDescent="0.25">
      <c r="A23" s="49"/>
      <c r="B23" s="52">
        <f>IF(S6=0,0,1/S6)</f>
        <v>0</v>
      </c>
      <c r="C23" s="52">
        <f>IF(S7=0,0,1/S7)</f>
        <v>0</v>
      </c>
      <c r="D23" s="52">
        <f>IF(S8=0,0,1/S8)</f>
        <v>0</v>
      </c>
      <c r="E23" s="52">
        <f>IF(S9=0,0,1/S9)</f>
        <v>0</v>
      </c>
      <c r="F23" s="52">
        <f>IF(S10=0,0,1/S10)</f>
        <v>0</v>
      </c>
      <c r="G23" s="52">
        <f>IF(S11=0,0,1/S11)</f>
        <v>0</v>
      </c>
      <c r="H23" s="52">
        <f>IF(S12=0,0,1/S12)</f>
        <v>0</v>
      </c>
      <c r="I23" s="52">
        <f>IF(S13=0,0,1/S13)</f>
        <v>0</v>
      </c>
      <c r="J23" s="52">
        <f>IF(S14=0,0,1/S14)</f>
        <v>0</v>
      </c>
      <c r="K23" s="52">
        <f>IF(S15=0,0,1/S15)</f>
        <v>0</v>
      </c>
      <c r="L23" s="52">
        <f>IF(S16=0,0,1/S16)</f>
        <v>0</v>
      </c>
      <c r="M23" s="52">
        <f>IF(S17=0,0,1/S17)</f>
        <v>0</v>
      </c>
      <c r="N23" s="52">
        <f>IF(S18=0,0,1/S18)</f>
        <v>0</v>
      </c>
      <c r="O23" s="52">
        <f>IF(S19=0,0,1/S19)</f>
        <v>0</v>
      </c>
      <c r="P23" s="52">
        <f>IF(S20=0,0,1/S20)</f>
        <v>0</v>
      </c>
      <c r="Q23" s="52">
        <f>IF(S21=0,0,1/S21)</f>
        <v>0</v>
      </c>
      <c r="R23" s="52">
        <f>IF(S22=0,0,1/S22)</f>
        <v>0</v>
      </c>
      <c r="S23" s="53">
        <v>1</v>
      </c>
      <c r="T23" s="42"/>
      <c r="U23" s="42"/>
      <c r="V23" s="42"/>
      <c r="W23" s="42"/>
      <c r="X23" s="42"/>
      <c r="Y23" s="42"/>
      <c r="Z23" s="42"/>
      <c r="AA23" s="42"/>
      <c r="AB23" s="42"/>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row>
    <row r="24" spans="1:55" x14ac:dyDescent="0.25">
      <c r="A24" s="49"/>
      <c r="B24" s="52">
        <f>IF(T6=0,0,1/T6)</f>
        <v>0</v>
      </c>
      <c r="C24" s="52">
        <f>IF(T7=0,0,1/T7)</f>
        <v>0</v>
      </c>
      <c r="D24" s="52">
        <f>IF(T8=0,0,1/T8)</f>
        <v>0</v>
      </c>
      <c r="E24" s="52">
        <f>IF(T9=0,0,1/T9)</f>
        <v>0</v>
      </c>
      <c r="F24" s="52">
        <f>IF(T10=0,0,1/T10)</f>
        <v>0</v>
      </c>
      <c r="G24" s="52">
        <f>IF(T11=0,0,1/T11)</f>
        <v>0</v>
      </c>
      <c r="H24" s="52">
        <f>IF(T12=0,0,1/T12)</f>
        <v>0</v>
      </c>
      <c r="I24" s="52">
        <f>IF(T13=0,0,1/T13)</f>
        <v>0</v>
      </c>
      <c r="J24" s="52">
        <f>IF(T14=0,0,1/T14)</f>
        <v>0</v>
      </c>
      <c r="K24" s="52">
        <f>IF(T15=0,0,1/T15)</f>
        <v>0</v>
      </c>
      <c r="L24" s="52">
        <f>IF(T16=0,0,1/T16)</f>
        <v>0</v>
      </c>
      <c r="M24" s="52">
        <f>IF(T17=0,0,1/T17)</f>
        <v>0</v>
      </c>
      <c r="N24" s="52">
        <f>IF(T18=0,0,1/T18)</f>
        <v>0</v>
      </c>
      <c r="O24" s="52">
        <f>IF(T19=0,0,1/T19)</f>
        <v>0</v>
      </c>
      <c r="P24" s="52">
        <f>IF(T20=0,0,1/T20)</f>
        <v>0</v>
      </c>
      <c r="Q24" s="52">
        <f>IF(T21=0,0,1/T21)</f>
        <v>0</v>
      </c>
      <c r="R24" s="52">
        <f>IF(T22=0,0,1/T22)</f>
        <v>0</v>
      </c>
      <c r="S24" s="52">
        <f>IF(T23=0,0,1/T23)</f>
        <v>0</v>
      </c>
      <c r="T24" s="53">
        <v>1</v>
      </c>
      <c r="U24" s="42"/>
      <c r="V24" s="42"/>
      <c r="W24" s="42"/>
      <c r="X24" s="42"/>
      <c r="Y24" s="42"/>
      <c r="Z24" s="42"/>
      <c r="AA24" s="42"/>
      <c r="AB24" s="42"/>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row>
    <row r="25" spans="1:55" x14ac:dyDescent="0.25">
      <c r="A25" s="49"/>
      <c r="B25" s="52">
        <f>IF(U6=0,0,1/U6)</f>
        <v>0</v>
      </c>
      <c r="C25" s="52">
        <f>IF(U7=0,0,1/U7)</f>
        <v>0</v>
      </c>
      <c r="D25" s="52">
        <f>IF(U8=0,0,1/U8)</f>
        <v>0</v>
      </c>
      <c r="E25" s="52">
        <f>IF(U9=0,0,1/U9)</f>
        <v>0</v>
      </c>
      <c r="F25" s="52">
        <f>IF(U10=0,0,1/U10)</f>
        <v>0</v>
      </c>
      <c r="G25" s="52">
        <f>IF(U11=0,0,1/U11)</f>
        <v>0</v>
      </c>
      <c r="H25" s="52">
        <f>IF(U12=0,0,1/U12)</f>
        <v>0</v>
      </c>
      <c r="I25" s="52">
        <f>IF(U13=0,0,1/U13)</f>
        <v>0</v>
      </c>
      <c r="J25" s="52">
        <f>IF(U14=0,0,1/U14)</f>
        <v>0</v>
      </c>
      <c r="K25" s="52">
        <f>IF(U15=0,0,1/U15)</f>
        <v>0</v>
      </c>
      <c r="L25" s="52">
        <f>IF(U16=0,0,1/U16)</f>
        <v>0</v>
      </c>
      <c r="M25" s="52">
        <f>IF(U17=0,0,1/U17)</f>
        <v>0</v>
      </c>
      <c r="N25" s="52">
        <f>IF(U18=0,0,1/U18)</f>
        <v>0</v>
      </c>
      <c r="O25" s="52">
        <f>IF(U19=0,0,1/U19)</f>
        <v>0</v>
      </c>
      <c r="P25" s="52">
        <f>IF(U20=0,0,1/U20)</f>
        <v>0</v>
      </c>
      <c r="Q25" s="52">
        <f>IF(U21=0,0,1/U21)</f>
        <v>0</v>
      </c>
      <c r="R25" s="52">
        <f>IF(U22=0,0,1/U22)</f>
        <v>0</v>
      </c>
      <c r="S25" s="52">
        <f>IF(U23=0,0,1/U23)</f>
        <v>0</v>
      </c>
      <c r="T25" s="52">
        <f>IF(U24=0,0,1/U24)</f>
        <v>0</v>
      </c>
      <c r="U25" s="53">
        <v>1</v>
      </c>
      <c r="V25" s="42"/>
      <c r="W25" s="42"/>
      <c r="X25" s="42"/>
      <c r="Y25" s="42"/>
      <c r="Z25" s="42"/>
      <c r="AA25" s="42"/>
      <c r="AB25" s="42"/>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row>
    <row r="26" spans="1:55" x14ac:dyDescent="0.25">
      <c r="A26" s="49"/>
      <c r="B26" s="52">
        <f>IF(V6=0,0,1/V6)</f>
        <v>0</v>
      </c>
      <c r="C26" s="52">
        <f>IF(V7=0,0,1/V7)</f>
        <v>0</v>
      </c>
      <c r="D26" s="52">
        <f>IF(V8=0,0,1/V8)</f>
        <v>0</v>
      </c>
      <c r="E26" s="52">
        <f>IF(V9=0,0,1/V9)</f>
        <v>0</v>
      </c>
      <c r="F26" s="52">
        <f>IF(V10=0,0,1/V10)</f>
        <v>0</v>
      </c>
      <c r="G26" s="52">
        <f>IF(V11=0,0,1/V11)</f>
        <v>0</v>
      </c>
      <c r="H26" s="52">
        <f>IF(V12=0,0,1/V12)</f>
        <v>0</v>
      </c>
      <c r="I26" s="52">
        <f>IF(V13=0,0,1/V13)</f>
        <v>0</v>
      </c>
      <c r="J26" s="52">
        <f>IF(V14=0,0,1/V14)</f>
        <v>0</v>
      </c>
      <c r="K26" s="52">
        <f>IF(V15=0,0,1/V15)</f>
        <v>0</v>
      </c>
      <c r="L26" s="52">
        <f>IF(V16=0,0,1/V16)</f>
        <v>0</v>
      </c>
      <c r="M26" s="52">
        <f>IF(V17=0,0,1/V17)</f>
        <v>0</v>
      </c>
      <c r="N26" s="52">
        <f>IF(V18=0,0,1/V18)</f>
        <v>0</v>
      </c>
      <c r="O26" s="52">
        <f>IF(V19=0,0,1/V19)</f>
        <v>0</v>
      </c>
      <c r="P26" s="52">
        <f>IF(V20=0,0,1/V20)</f>
        <v>0</v>
      </c>
      <c r="Q26" s="52">
        <f>IF(V21=0,0,1/V21)</f>
        <v>0</v>
      </c>
      <c r="R26" s="52">
        <f>IF(V22=0,0,1/V22)</f>
        <v>0</v>
      </c>
      <c r="S26" s="52">
        <f>IF(V23=0,0,1/V23)</f>
        <v>0</v>
      </c>
      <c r="T26" s="52">
        <f>IF(V24=0,0,1/V24)</f>
        <v>0</v>
      </c>
      <c r="U26" s="52">
        <f>IF(V25=0,0,1/V25)</f>
        <v>0</v>
      </c>
      <c r="V26" s="53">
        <v>1</v>
      </c>
      <c r="W26" s="42"/>
      <c r="X26" s="42"/>
      <c r="Y26" s="42"/>
      <c r="Z26" s="42"/>
      <c r="AA26" s="42"/>
      <c r="AB26" s="42"/>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row>
    <row r="27" spans="1:55" x14ac:dyDescent="0.25">
      <c r="A27" s="49"/>
      <c r="B27" s="52">
        <f>IF(W6=0,0,1/W6)</f>
        <v>0</v>
      </c>
      <c r="C27" s="52">
        <f>IF(W7=0,0,1/W7)</f>
        <v>0</v>
      </c>
      <c r="D27" s="52">
        <f>IF(W8=0,0,1/W8)</f>
        <v>0</v>
      </c>
      <c r="E27" s="52">
        <f>IF(W9=0,0,1/W9)</f>
        <v>0</v>
      </c>
      <c r="F27" s="52">
        <f>IF(W10=0,0,1/W10)</f>
        <v>0</v>
      </c>
      <c r="G27" s="52">
        <f>IF(W11=0,0,1/W11)</f>
        <v>0</v>
      </c>
      <c r="H27" s="52">
        <f>IF(W12=0,0,1/W12)</f>
        <v>0</v>
      </c>
      <c r="I27" s="52">
        <f>IF(W13=0,0,1/W13)</f>
        <v>0</v>
      </c>
      <c r="J27" s="52">
        <f>IF(W14=0,0,1/W14)</f>
        <v>0</v>
      </c>
      <c r="K27" s="52">
        <f>IF(W15=0,0,1/W15)</f>
        <v>0</v>
      </c>
      <c r="L27" s="52">
        <f>IF(W16=0,0,1/W16)</f>
        <v>0</v>
      </c>
      <c r="M27" s="52">
        <f>IF(W17=0,0,1/W17)</f>
        <v>0</v>
      </c>
      <c r="N27" s="52">
        <f>IF(W18=0,0,1/W18)</f>
        <v>0</v>
      </c>
      <c r="O27" s="52">
        <f>IF(W19=0,0,1/W19)</f>
        <v>0</v>
      </c>
      <c r="P27" s="52">
        <f>IF(W20=0,0,1/W20)</f>
        <v>0</v>
      </c>
      <c r="Q27" s="52">
        <f>IF(W21=0,0,1/W21)</f>
        <v>0</v>
      </c>
      <c r="R27" s="52">
        <f>IF(W22=0,0,1/W22)</f>
        <v>0</v>
      </c>
      <c r="S27" s="52">
        <f>IF(W23=0,0,1/W23)</f>
        <v>0</v>
      </c>
      <c r="T27" s="52">
        <f>IF(W24=0,0,1/W24)</f>
        <v>0</v>
      </c>
      <c r="U27" s="52">
        <f>IF(W25=0,0,1/W25)</f>
        <v>0</v>
      </c>
      <c r="V27" s="52">
        <f>IF(W26=0,0,1/W26)</f>
        <v>0</v>
      </c>
      <c r="W27" s="53">
        <v>1</v>
      </c>
      <c r="X27" s="42"/>
      <c r="Y27" s="42"/>
      <c r="Z27" s="42"/>
      <c r="AA27" s="42"/>
      <c r="AB27" s="42"/>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row>
    <row r="28" spans="1:55" x14ac:dyDescent="0.25">
      <c r="A28" s="49"/>
      <c r="B28" s="52">
        <f>IF(X6=0,0,1/X6)</f>
        <v>0</v>
      </c>
      <c r="C28" s="52">
        <f>IF(X7=0,0,1/X7)</f>
        <v>0</v>
      </c>
      <c r="D28" s="52">
        <f>IF(X8=0,0,1/X8)</f>
        <v>0</v>
      </c>
      <c r="E28" s="52">
        <f>IF(X9=0,0,1/X9)</f>
        <v>0</v>
      </c>
      <c r="F28" s="52">
        <f>IF(X10=0,0,1/X10)</f>
        <v>0</v>
      </c>
      <c r="G28" s="52">
        <f>IF(X11=0,0,1/X11)</f>
        <v>0</v>
      </c>
      <c r="H28" s="52">
        <f>IF(X12=0,0,1/X12)</f>
        <v>0</v>
      </c>
      <c r="I28" s="52">
        <f>IF(X13=0,0,1/X13)</f>
        <v>0</v>
      </c>
      <c r="J28" s="52">
        <f>IF(X14=0,0,1/X14)</f>
        <v>0</v>
      </c>
      <c r="K28" s="52">
        <f>IF(X15=0,0,1/X15)</f>
        <v>0</v>
      </c>
      <c r="L28" s="52">
        <f>IF(X16=0,0,1/X16)</f>
        <v>0</v>
      </c>
      <c r="M28" s="52">
        <f>IF(X17=0,0,1/X17)</f>
        <v>0</v>
      </c>
      <c r="N28" s="52">
        <f>IF(X18=0,0,1/X18)</f>
        <v>0</v>
      </c>
      <c r="O28" s="52">
        <f>IF(X19=0,0,1/X19)</f>
        <v>0</v>
      </c>
      <c r="P28" s="52">
        <f>IF(X20=0,0,1/X20)</f>
        <v>0</v>
      </c>
      <c r="Q28" s="52">
        <f>IF(X21=0,0,1/X21)</f>
        <v>0</v>
      </c>
      <c r="R28" s="52">
        <f>IF(X22=0,0,1/X22)</f>
        <v>0</v>
      </c>
      <c r="S28" s="52">
        <f>IF(X23=0,0,1/X23)</f>
        <v>0</v>
      </c>
      <c r="T28" s="52">
        <f>IF(X24=0,0,1/X24)</f>
        <v>0</v>
      </c>
      <c r="U28" s="52">
        <f>IF(X25=0,0,1/X25)</f>
        <v>0</v>
      </c>
      <c r="V28" s="52">
        <f>IF(X26=0,0,1/X26)</f>
        <v>0</v>
      </c>
      <c r="W28" s="52">
        <f>IF(X27=0,0,1/X27)</f>
        <v>0</v>
      </c>
      <c r="X28" s="53">
        <v>1</v>
      </c>
      <c r="Y28" s="42"/>
      <c r="Z28" s="42"/>
      <c r="AA28" s="42"/>
      <c r="AB28" s="42"/>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row>
    <row r="29" spans="1:55" x14ac:dyDescent="0.25">
      <c r="A29" s="49"/>
      <c r="B29" s="52">
        <f>IF(Y6=0,0,1/Y6)</f>
        <v>0</v>
      </c>
      <c r="C29" s="52">
        <f>IF(Y7=0,0,1/Y7)</f>
        <v>0</v>
      </c>
      <c r="D29" s="52">
        <f>IF(Y8=0,0,1/Y8)</f>
        <v>0</v>
      </c>
      <c r="E29" s="52">
        <f>IF(Y9=0,0,1/Y9)</f>
        <v>0</v>
      </c>
      <c r="F29" s="52">
        <f>IF(Y10=0,0,1/Y10)</f>
        <v>0</v>
      </c>
      <c r="G29" s="52">
        <f>IF(Y11=0,0,1/Y11)</f>
        <v>0</v>
      </c>
      <c r="H29" s="52">
        <f>IF(Y12=0,0,1/Y12)</f>
        <v>0</v>
      </c>
      <c r="I29" s="52">
        <f>IF(Y13=0,0,1/Y13)</f>
        <v>0</v>
      </c>
      <c r="J29" s="52">
        <f>IF(Y14=0,0,1/Y14)</f>
        <v>0</v>
      </c>
      <c r="K29" s="52">
        <f>IF(Y15=0,0,1/Y15)</f>
        <v>0</v>
      </c>
      <c r="L29" s="52">
        <f>IF(Y16=0,0,1/Y16)</f>
        <v>0</v>
      </c>
      <c r="M29" s="52">
        <f>IF(Y17=0,0,1/Y17)</f>
        <v>0</v>
      </c>
      <c r="N29" s="52">
        <f>IF(Y18=0,0,1/Y18)</f>
        <v>0</v>
      </c>
      <c r="O29" s="52">
        <f>IF(Y19=0,0,1/Y19)</f>
        <v>0</v>
      </c>
      <c r="P29" s="52">
        <f>IF(Y20=0,0,1/Y20)</f>
        <v>0</v>
      </c>
      <c r="Q29" s="52">
        <f>IF(Y21=0,0,1/Y21)</f>
        <v>0</v>
      </c>
      <c r="R29" s="52">
        <f>IF(Y22=0,0,1/Y22)</f>
        <v>0</v>
      </c>
      <c r="S29" s="52">
        <f>IF(Y23=0,0,1/Y23)</f>
        <v>0</v>
      </c>
      <c r="T29" s="52">
        <f>IF(Y24=0,0,1/Y24)</f>
        <v>0</v>
      </c>
      <c r="U29" s="52">
        <f>IF(Y25=0,0,1/Y25)</f>
        <v>0</v>
      </c>
      <c r="V29" s="52">
        <f>IF(Y26=0,0,1/Y26)</f>
        <v>0</v>
      </c>
      <c r="W29" s="52">
        <f>IF(Y27=0,0,1/Y27)</f>
        <v>0</v>
      </c>
      <c r="X29" s="52">
        <f>IF(Y28=0,0,1/Y28)</f>
        <v>0</v>
      </c>
      <c r="Y29" s="53">
        <v>1</v>
      </c>
      <c r="Z29" s="42"/>
      <c r="AA29" s="42"/>
      <c r="AB29" s="42"/>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row>
    <row r="30" spans="1:55" x14ac:dyDescent="0.25">
      <c r="A30" s="49"/>
      <c r="B30" s="52">
        <f>IF(Z6=0,0,1/Z6)</f>
        <v>0</v>
      </c>
      <c r="C30" s="52">
        <f>IF(Z7=0,0,1/Z7)</f>
        <v>0</v>
      </c>
      <c r="D30" s="52">
        <f>IF(Z8=0,0,1/Z8)</f>
        <v>0</v>
      </c>
      <c r="E30" s="52">
        <f>IF(Z9=0,0,1/Z9)</f>
        <v>0</v>
      </c>
      <c r="F30" s="52">
        <f>IF(Z10=0,0,1/Z10)</f>
        <v>0</v>
      </c>
      <c r="G30" s="52">
        <f>IF(Z11=0,0,1/Z11)</f>
        <v>0</v>
      </c>
      <c r="H30" s="52">
        <f>IF(Z12=0,0,1/Z12)</f>
        <v>0</v>
      </c>
      <c r="I30" s="52">
        <f>IF(Z13=0,0,1/Z13)</f>
        <v>0</v>
      </c>
      <c r="J30" s="52">
        <f>IF(Z14=0,0,1/Z14)</f>
        <v>0</v>
      </c>
      <c r="K30" s="52">
        <f>IF(Z15=0,0,1/Z15)</f>
        <v>0</v>
      </c>
      <c r="L30" s="52">
        <f>IF(Z16=0,0,1/Z16)</f>
        <v>0</v>
      </c>
      <c r="M30" s="52">
        <f>IF(Z17=0,0,1/Z17)</f>
        <v>0</v>
      </c>
      <c r="N30" s="52">
        <f>IF(Z18=0,0,1/Z18)</f>
        <v>0</v>
      </c>
      <c r="O30" s="52">
        <f>IF(Z19=0,0,1/Z19)</f>
        <v>0</v>
      </c>
      <c r="P30" s="52">
        <f>IF(Z20=0,0,1/Z20)</f>
        <v>0</v>
      </c>
      <c r="Q30" s="52">
        <f>IF(Z21=0,0,1/Z21)</f>
        <v>0</v>
      </c>
      <c r="R30" s="52">
        <f>IF(Z22=0,0,1/Z22)</f>
        <v>0</v>
      </c>
      <c r="S30" s="52">
        <f>IF(Z23=0,0,1/Z23)</f>
        <v>0</v>
      </c>
      <c r="T30" s="52">
        <f>IF(Z24=0,0,1/Z24)</f>
        <v>0</v>
      </c>
      <c r="U30" s="52">
        <f>IF(Z25=0,0,1/Z25)</f>
        <v>0</v>
      </c>
      <c r="V30" s="52">
        <f>IF(Z26=0,0,1/Z26)</f>
        <v>0</v>
      </c>
      <c r="W30" s="52">
        <f>IF(Z27=0,0,1/Z27)</f>
        <v>0</v>
      </c>
      <c r="X30" s="52">
        <f>IF(Z28=0,0,1/Z28)</f>
        <v>0</v>
      </c>
      <c r="Y30" s="52">
        <f>IF(Z29=0,0,1/Z29)</f>
        <v>0</v>
      </c>
      <c r="Z30" s="53">
        <v>1</v>
      </c>
      <c r="AA30" s="42"/>
      <c r="AB30" s="42"/>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row>
    <row r="31" spans="1:55" x14ac:dyDescent="0.25">
      <c r="A31" s="49"/>
      <c r="B31" s="52">
        <f>IF(AA6=0,0,1/AA6)</f>
        <v>0</v>
      </c>
      <c r="C31" s="52">
        <f>IF(AA7=0,0,1/AA7)</f>
        <v>0</v>
      </c>
      <c r="D31" s="52">
        <f>IF(AA8=0,0,1/AA8)</f>
        <v>0</v>
      </c>
      <c r="E31" s="52">
        <f>IF(AA9=0,0,1/AA9)</f>
        <v>0</v>
      </c>
      <c r="F31" s="52">
        <f>IF(AA10=0,0,1/AA10)</f>
        <v>0</v>
      </c>
      <c r="G31" s="52">
        <f>IF(AA11=0,0,1/AA11)</f>
        <v>0</v>
      </c>
      <c r="H31" s="52">
        <f>IF(AA12=0,0,1/AA12)</f>
        <v>0</v>
      </c>
      <c r="I31" s="52">
        <f>IF(AA13=0,0,1/AA13)</f>
        <v>0</v>
      </c>
      <c r="J31" s="52">
        <f>IF(AA14=0,0,1/AA14)</f>
        <v>0</v>
      </c>
      <c r="K31" s="52">
        <f>IF(AA15=0,0,1/AA15)</f>
        <v>0</v>
      </c>
      <c r="L31" s="52">
        <f>IF(AA16=0,0,1/AA16)</f>
        <v>0</v>
      </c>
      <c r="M31" s="52">
        <f>IF(AA17=0,0,1/AA17)</f>
        <v>0</v>
      </c>
      <c r="N31" s="52">
        <f>IF(AA18=0,0,1/AA18)</f>
        <v>0</v>
      </c>
      <c r="O31" s="52">
        <f>IF(AA19=0,0,1/AA19)</f>
        <v>0</v>
      </c>
      <c r="P31" s="52">
        <f>IF(AA20=0,0,1/AA20)</f>
        <v>0</v>
      </c>
      <c r="Q31" s="52">
        <f>IF(AA21=0,0,1/AA21)</f>
        <v>0</v>
      </c>
      <c r="R31" s="52">
        <f>IF(AA22=0,0,1/AA22)</f>
        <v>0</v>
      </c>
      <c r="S31" s="52">
        <f>IF(AA23=0,0,1/AA23)</f>
        <v>0</v>
      </c>
      <c r="T31" s="52">
        <f>IF(AA24=0,0,1/AA24)</f>
        <v>0</v>
      </c>
      <c r="U31" s="52">
        <f>IF(AA25=0,0,1/AA25)</f>
        <v>0</v>
      </c>
      <c r="V31" s="52">
        <f>IF(AA26=0,0,1/AA26)</f>
        <v>0</v>
      </c>
      <c r="W31" s="52">
        <f>IF(AA27=0,0,1/AA27)</f>
        <v>0</v>
      </c>
      <c r="X31" s="52">
        <f>IF(AA28=0,0,1/AA28)</f>
        <v>0</v>
      </c>
      <c r="Y31" s="52">
        <f>IF(AA29=0,0,1/AA29)</f>
        <v>0</v>
      </c>
      <c r="Z31" s="52">
        <f>IF(AA30=0,0,1/AA30)</f>
        <v>0</v>
      </c>
      <c r="AA31" s="53">
        <v>1</v>
      </c>
      <c r="AB31" s="42"/>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row>
    <row r="32" spans="1:55" x14ac:dyDescent="0.25">
      <c r="A32" s="49"/>
      <c r="B32" s="52">
        <f>IF(AB6=0,0,1/AB6)</f>
        <v>0</v>
      </c>
      <c r="C32" s="52">
        <f>IF(AB7=0,0,1/AB7)</f>
        <v>0</v>
      </c>
      <c r="D32" s="52">
        <f>IF(AB8=0,0,1/AB8)</f>
        <v>0</v>
      </c>
      <c r="E32" s="52">
        <f>IF(AB9=0,0,1/AB9)</f>
        <v>0</v>
      </c>
      <c r="F32" s="52">
        <f>IF(AB10=0,0,1/AB10)</f>
        <v>0</v>
      </c>
      <c r="G32" s="52">
        <f>IF(AB11=0,0,1/AB11)</f>
        <v>0</v>
      </c>
      <c r="H32" s="52">
        <f>IF(AB12=0,0,1/AB12)</f>
        <v>0</v>
      </c>
      <c r="I32" s="52">
        <f>IF(AB13=0,0,1/AB13)</f>
        <v>0</v>
      </c>
      <c r="J32" s="52">
        <f>IF(AB14=0,0,1/AB14)</f>
        <v>0</v>
      </c>
      <c r="K32" s="52">
        <f>IF(AB15=0,0,1/AB15)</f>
        <v>0</v>
      </c>
      <c r="L32" s="52">
        <f>IF(AB16=0,0,1/AB16)</f>
        <v>0</v>
      </c>
      <c r="M32" s="52">
        <f>IF(AB17=0,0,1/AB17)</f>
        <v>0</v>
      </c>
      <c r="N32" s="52">
        <f>IF(AB18=0,0,1/AB18)</f>
        <v>0</v>
      </c>
      <c r="O32" s="52">
        <f>IF(AB19=0,0,1/AB19)</f>
        <v>0</v>
      </c>
      <c r="P32" s="52">
        <f>IF(AB20=0,0,1/AB20)</f>
        <v>0</v>
      </c>
      <c r="Q32" s="52">
        <f>IF(AB21=0,0,1/AB21)</f>
        <v>0</v>
      </c>
      <c r="R32" s="52">
        <f>IF(AB22=0,0,1/AB22)</f>
        <v>0</v>
      </c>
      <c r="S32" s="52">
        <f>IF(AB23=0,0,1/AB23)</f>
        <v>0</v>
      </c>
      <c r="T32" s="52">
        <f>IF(AB24=0,0,1/AB24)</f>
        <v>0</v>
      </c>
      <c r="U32" s="52">
        <f>IF(AB25=0,0,1/AB25)</f>
        <v>0</v>
      </c>
      <c r="V32" s="52">
        <f>IF(AB26=0,0,1/AB26)</f>
        <v>0</v>
      </c>
      <c r="W32" s="52">
        <f>IF(AB27=0,0,1/AB27)</f>
        <v>0</v>
      </c>
      <c r="X32" s="52">
        <f>IF(AB28=0,0,1/AB28)</f>
        <v>0</v>
      </c>
      <c r="Y32" s="52">
        <f>IF(AB29=0,0,1/AB29)</f>
        <v>0</v>
      </c>
      <c r="Z32" s="52">
        <f>IF(AB30=0,0,1/AB30)</f>
        <v>0</v>
      </c>
      <c r="AA32" s="52">
        <f>IF(AB31=0,0,1/AB31)</f>
        <v>0</v>
      </c>
      <c r="AB32" s="53">
        <v>1</v>
      </c>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row>
    <row r="33" spans="1:51" s="1" customFormat="1" x14ac:dyDescent="0.25">
      <c r="A33" s="44"/>
    </row>
    <row r="34" spans="1:51" s="1" customFormat="1" x14ac:dyDescent="0.25">
      <c r="H34" s="84" t="s">
        <v>91</v>
      </c>
      <c r="I34" s="84"/>
      <c r="J34" s="84"/>
    </row>
    <row r="35" spans="1:51" ht="15" x14ac:dyDescent="0.25">
      <c r="B35" s="54" t="e" cm="1" vm="2">
        <f t="array" ref="B35:AB35">IF(TRANSPOSE(A6:A32)=0,"-",TRANSPOSE(A6:A32))</f>
        <v>#VALUE!</v>
      </c>
      <c r="C35" s="54" t="str">
        <v>-</v>
      </c>
      <c r="D35" s="54" t="str">
        <v>-</v>
      </c>
      <c r="E35" s="54" t="str">
        <v>-</v>
      </c>
      <c r="F35" s="54" t="str">
        <v>-</v>
      </c>
      <c r="G35" s="54" t="str">
        <v>-</v>
      </c>
      <c r="H35" s="54" t="str">
        <v>-</v>
      </c>
      <c r="I35" s="54" t="str">
        <v>-</v>
      </c>
      <c r="J35" s="54" t="str">
        <v>-</v>
      </c>
      <c r="K35" s="54" t="str">
        <v>-</v>
      </c>
      <c r="L35" s="54" t="str">
        <v>-</v>
      </c>
      <c r="M35" s="54" t="str">
        <v>-</v>
      </c>
      <c r="N35" s="54" t="str">
        <v>-</v>
      </c>
      <c r="O35" s="54" t="str">
        <v>-</v>
      </c>
      <c r="P35" s="54" t="str">
        <v>-</v>
      </c>
      <c r="Q35" s="54" t="str">
        <v>-</v>
      </c>
      <c r="R35" s="54" t="str">
        <v>-</v>
      </c>
      <c r="S35" s="54" t="str">
        <v>-</v>
      </c>
      <c r="T35" s="54" t="str">
        <v>-</v>
      </c>
      <c r="U35" s="54" t="str">
        <v>-</v>
      </c>
      <c r="V35" s="54" t="str">
        <v>-</v>
      </c>
      <c r="W35" s="54" t="str">
        <v>-</v>
      </c>
      <c r="X35" s="54" t="str">
        <v>-</v>
      </c>
      <c r="Y35" s="54" t="str">
        <v>-</v>
      </c>
      <c r="Z35" s="54" t="str">
        <v>-</v>
      </c>
      <c r="AA35" s="54" t="str">
        <v>-</v>
      </c>
      <c r="AB35" s="54" t="str">
        <v>-</v>
      </c>
      <c r="AC35" s="35" t="s">
        <v>69</v>
      </c>
      <c r="AD35" s="55" t="s">
        <v>72</v>
      </c>
      <c r="AE35" s="1"/>
      <c r="AF35" s="1"/>
      <c r="AG35" s="1"/>
      <c r="AH35" s="1"/>
      <c r="AI35" s="1"/>
      <c r="AJ35" s="1"/>
      <c r="AK35" s="1"/>
      <c r="AL35" s="1"/>
      <c r="AM35" s="1"/>
      <c r="AN35" s="1"/>
      <c r="AO35" s="1"/>
      <c r="AP35" s="1"/>
      <c r="AQ35" s="1"/>
      <c r="AR35" s="1"/>
      <c r="AS35" s="1"/>
      <c r="AT35" s="1"/>
      <c r="AU35" s="1"/>
      <c r="AV35" s="1"/>
      <c r="AW35" s="1"/>
      <c r="AX35" s="1"/>
      <c r="AY35" s="1"/>
    </row>
    <row r="36" spans="1:51" x14ac:dyDescent="0.25">
      <c r="A36" s="56" t="e" cm="1" vm="2">
        <f t="array" ref="A36">_xlfn._xlws.FILTER('AHP(Structure the hierarchy)'!B6:B33, 'AHP(Structure the hierarchy)'!B6:B33&lt;&gt;"")</f>
        <v>#VALUE!</v>
      </c>
      <c r="B36" s="57">
        <f>IF($B$6=0,0,$B$6*B6+$C$6*B7+$D$6*B8+$E$6*B9+$F$6*B10+$G$6*B11+H6*B12+I6*B13+J6*B14+K6*B15+L6*B16+M6*B17+N6*B18+O6*B19+P6*B20+Q6*B21+R6*B22+S6*B23+T6*B24+U6*B25+V6*B26+W6*B27+X6*B28+Y6*B29+Z6*B30+AA6*B31+AB6*B32)</f>
        <v>1</v>
      </c>
      <c r="C36" s="57">
        <f t="shared" ref="C36:G36" si="0">IF($B$6=0,0,$B$6*C6+$C$6*C7+$D$6*C8+$E$6*C9+$F$6*C10+$G$6*C11+I6*C12+J6*C13+K6*C14+L6*C15+M6*C16+N6*C17+O6*C18+P6*C19+Q6*C20+R6*C21+S6*C22+T6*C23+U6*C24+V6*C25+W6*C26+X6*C27+Y6*C28+Z6*C29+AA6*C30+AB6*C31+AC6*C32)</f>
        <v>0</v>
      </c>
      <c r="D36" s="57">
        <f t="shared" si="0"/>
        <v>0</v>
      </c>
      <c r="E36" s="57">
        <f t="shared" si="0"/>
        <v>0</v>
      </c>
      <c r="F36" s="57">
        <f t="shared" si="0"/>
        <v>0</v>
      </c>
      <c r="G36" s="57">
        <f t="shared" si="0"/>
        <v>0</v>
      </c>
      <c r="H36" s="57">
        <f t="shared" ref="H36" si="1">IF($B$6=0,0,$B$6*H6+$C$6*H7+$D$6*H8+$E$6*H9+$F$6*H10+$G$6*H11+N6*H12+O6*H13+P6*H14+Q6*H15+R6*H16+S6*H17+T6*H18+U6*H19+V6*H20+W6*H21+X6*H22+Y6*H23+Z6*H24+AA6*H25+AB6*H26+AC6*H27+AD6*H28+AE6*H29+AF6*H30+AG6*H31+AH6*H32)</f>
        <v>0</v>
      </c>
      <c r="I36" s="57">
        <f t="shared" ref="I36" si="2">IF($B$6=0,0,$B$6*I6+$C$6*I7+$D$6*I8+$E$6*I9+$F$6*I10+$G$6*I11+O6*I12+P6*I13+Q6*I14+R6*I15+S6*I16+T6*I17+U6*I18+V6*I19+W6*I20+X6*I21+Y6*I22+Z6*I23+AA6*I24+AB6*I25+AC6*I26+AD6*I27+AE6*I28+AF6*I29+AG6*I30+AH6*I31+AI6*I32)</f>
        <v>0</v>
      </c>
      <c r="J36" s="57">
        <f t="shared" ref="J36" si="3">IF($B$6=0,0,$B$6*J6+$C$6*J7+$D$6*J8+$E$6*J9+$F$6*J10+$G$6*J11+P6*J12+Q6*J13+R6*J14+S6*J15+T6*J16+U6*J17+V6*J18+W6*J19+X6*J20+Y6*J21+Z6*J22+AA6*J23+AB6*J24+AC6*J25+AD6*J26+AE6*J27+AF6*J28+AG6*J29+AH6*J30+AI6*J31+AJ6*J32)</f>
        <v>0</v>
      </c>
      <c r="K36" s="57">
        <f t="shared" ref="K36" si="4">IF($B$6=0,0,$B$6*K6+$C$6*K7+$D$6*K8+$E$6*K9+$F$6*K10+$G$6*K11+Q6*K12+R6*K13+S6*K14+T6*K15+U6*K16+V6*K17+W6*K18+X6*K19+Y6*K20+Z6*K21+AA6*K22+AB6*K23+AC6*K24+AD6*K25+AE6*K26+AF6*K27+AG6*K28+AH6*K29+AI6*K30+AJ6*K31+AK6*K32)</f>
        <v>0</v>
      </c>
      <c r="L36" s="57">
        <f t="shared" ref="L36" si="5">IF($B$6=0,0,$B$6*L6+$C$6*L7+$D$6*L8+$E$6*L9+$F$6*L10+$G$6*L11+R6*L12+S6*L13+T6*L14+U6*L15+V6*L16+W6*L17+X6*L18+Y6*L19+Z6*L20+AA6*L21+AB6*L22+AC6*L23+AD6*L24+AE6*L25+AF6*L26+AG6*L27+AH6*L28+AI6*L29+AJ6*L30+AK6*L31+AL6*L32)</f>
        <v>0</v>
      </c>
      <c r="M36" s="57">
        <f t="shared" ref="M36" si="6">IF($B$6=0,0,$B$6*M6+$C$6*M7+$D$6*M8+$E$6*M9+$F$6*M10+$G$6*M11+S6*M12+T6*M13+U6*M14+V6*M15+W6*M16+X6*M17+Y6*M18+Z6*M19+AA6*M20+AB6*M21+AC6*M22+AD6*M23+AE6*M24+AF6*M25+AG6*M26+AH6*M27+AI6*M28+AJ6*M29+AK6*M30+AL6*M31+AM6*M32)</f>
        <v>0</v>
      </c>
      <c r="N36" s="57">
        <f t="shared" ref="N36" si="7">IF($B$6=0,0,$B$6*N6+$C$6*N7+$D$6*N8+$E$6*N9+$F$6*N10+$G$6*N11+T6*N12+U6*N13+V6*N14+W6*N15+X6*N16+Y6*N17+Z6*N18+AA6*N19+AB6*N20+AC6*N21+AD6*N22+AE6*N23+AF6*N24+AG6*N25+AH6*N26+AI6*N27+AJ6*N28+AK6*N29+AL6*N30+AM6*N31+AN6*N32)</f>
        <v>0</v>
      </c>
      <c r="O36" s="57">
        <f t="shared" ref="O36" si="8">IF($B$6=0,0,$B$6*O6+$C$6*O7+$D$6*O8+$E$6*O9+$F$6*O10+$G$6*O11+U6*O12+V6*O13+W6*O14+X6*O15+Y6*O16+Z6*O17+AA6*O18+AB6*O19+AC6*O20+AD6*O21+AE6*O22+AF6*O23+AG6*O24+AH6*O25+AI6*O26+AJ6*O27+AK6*O28+AL6*O29+AM6*O30+AN6*O31+AO6*O32)</f>
        <v>0</v>
      </c>
      <c r="P36" s="57">
        <f t="shared" ref="P36" si="9">IF($B$6=0,0,$B$6*P6+$C$6*P7+$D$6*P8+$E$6*P9+$F$6*P10+$G$6*P11+V6*P12+W6*P13+X6*P14+Y6*P15+Z6*P16+AA6*P17+AB6*P18+AC6*P19+AD6*P20+AE6*P21+AF6*P22+AG6*P23+AH6*P24+AI6*P25+AJ6*P26+AK6*P27+AL6*P28+AM6*P29+AN6*P30+AO6*P31+AP6*P32)</f>
        <v>0</v>
      </c>
      <c r="Q36" s="57">
        <f t="shared" ref="Q36" si="10">IF($B$6=0,0,$B$6*Q6+$C$6*Q7+$D$6*Q8+$E$6*Q9+$F$6*Q10+$G$6*Q11+W6*Q12+X6*Q13+Y6*Q14+Z6*Q15+AA6*Q16+AB6*Q17+AC6*Q18+AD6*Q19+AE6*Q20+AF6*Q21+AG6*Q22+AH6*Q23+AI6*Q24+AJ6*Q25+AK6*Q26+AL6*Q27+AM6*Q28+AN6*Q29+AO6*Q30+AP6*Q31+AQ6*Q32)</f>
        <v>0</v>
      </c>
      <c r="R36" s="57">
        <f t="shared" ref="R36" si="11">IF($B$6=0,0,$B$6*R6+$C$6*R7+$D$6*R8+$E$6*R9+$F$6*R10+$G$6*R11+X6*R12+Y6*R13+Z6*R14+AA6*R15+AB6*R16+AC6*R17+AD6*R18+AE6*R19+AF6*R20+AG6*R21+AH6*R22+AI6*R23+AJ6*R24+AK6*R25+AL6*R26+AM6*R27+AN6*R28+AO6*R29+AP6*R30+AQ6*R31+AR6*R32)</f>
        <v>0</v>
      </c>
      <c r="S36" s="57">
        <f t="shared" ref="S36" si="12">IF($B$6=0,0,$B$6*S6+$C$6*S7+$D$6*S8+$E$6*S9+$F$6*S10+$G$6*S11+Y6*S12+Z6*S13+AA6*S14+AB6*S15+AC6*S16+AD6*S17+AE6*S18+AF6*S19+AG6*S20+AH6*S21+AI6*S22+AJ6*S23+AK6*S24+AL6*S25+AM6*S26+AN6*S27+AO6*S28+AP6*S29+AQ6*S30+AR6*S31+AS6*S32)</f>
        <v>0</v>
      </c>
      <c r="T36" s="57">
        <f t="shared" ref="T36" si="13">IF($B$6=0,0,$B$6*T6+$C$6*T7+$D$6*T8+$E$6*T9+$F$6*T10+$G$6*T11+Z6*T12+AA6*T13+AB6*T14+AC6*T15+AD6*T16+AE6*T17+AF6*T18+AG6*T19+AH6*T20+AI6*T21+AJ6*T22+AK6*T23+AL6*T24+AM6*T25+AN6*T26+AO6*T27+AP6*T28+AQ6*T29+AR6*T30+AS6*T31+AT6*T32)</f>
        <v>0</v>
      </c>
      <c r="U36" s="57">
        <f t="shared" ref="U36" si="14">IF($B$6=0,0,$B$6*U6+$C$6*U7+$D$6*U8+$E$6*U9+$F$6*U10+$G$6*U11+AA6*U12+AB6*U13+AC6*U14+AD6*U15+AE6*U16+AF6*U17+AG6*U18+AH6*U19+AI6*U20+AJ6*U21+AK6*U22+AL6*U23+AM6*U24+AN6*U25+AO6*U26+AP6*U27+AQ6*U28+AR6*U29+AS6*U30+AT6*U31+AU6*U32)</f>
        <v>0</v>
      </c>
      <c r="V36" s="57">
        <f t="shared" ref="V36" si="15">IF($B$6=0,0,$B$6*V6+$C$6*V7+$D$6*V8+$E$6*V9+$F$6*V10+$G$6*V11+AB6*V12+AC6*V13+AD6*V14+AE6*V15+AF6*V16+AG6*V17+AH6*V18+AI6*V19+AJ6*V20+AK6*V21+AL6*V22+AM6*V23+AN6*V24+AO6*V25+AP6*V26+AQ6*V27+AR6*V28+AS6*V29+AT6*V30+AU6*V31+AV6*V32)</f>
        <v>0</v>
      </c>
      <c r="W36" s="57">
        <f t="shared" ref="W36" si="16">IF($B$6=0,0,$B$6*W6+$C$6*W7+$D$6*W8+$E$6*W9+$F$6*W10+$G$6*W11+AC6*W12+AD6*W13+AE6*W14+AF6*W15+AG6*W16+AH6*W17+AI6*W18+AJ6*W19+AK6*W20+AL6*W21+AM6*W22+AN6*W23+AO6*W24+AP6*W25+AQ6*W26+AR6*W27+AS6*W28+AT6*W29+AU6*W30+AV6*W31+AW6*W32)</f>
        <v>0</v>
      </c>
      <c r="X36" s="57">
        <f t="shared" ref="X36" si="17">IF($B$6=0,0,$B$6*X6+$C$6*X7+$D$6*X8+$E$6*X9+$F$6*X10+$G$6*X11+AD6*X12+AE6*X13+AF6*X14+AG6*X15+AH6*X16+AI6*X17+AJ6*X18+AK6*X19+AL6*X20+AM6*X21+AN6*X22+AO6*X23+AP6*X24+AQ6*X25+AR6*X26+AS6*X27+AT6*X28+AU6*X29+AV6*X30+AW6*X31+AX6*X32)</f>
        <v>0</v>
      </c>
      <c r="Y36" s="57">
        <f t="shared" ref="Y36" si="18">IF($B$6=0,0,$B$6*Y6+$C$6*Y7+$D$6*Y8+$E$6*Y9+$F$6*Y10+$G$6*Y11+AE6*Y12+AF6*Y13+AG6*Y14+AH6*Y15+AI6*Y16+AJ6*Y17+AK6*Y18+AL6*Y19+AM6*Y20+AN6*Y21+AO6*Y22+AP6*Y23+AQ6*Y24+AR6*Y25+AS6*Y26+AT6*Y27+AU6*Y28+AV6*Y29+AW6*Y30+AX6*Y31+AY6*Y32)</f>
        <v>0</v>
      </c>
      <c r="Z36" s="57">
        <f t="shared" ref="Z36" si="19">IF($B$6=0,0,$B$6*Z6+$C$6*Z7+$D$6*Z8+$E$6*Z9+$F$6*Z10+$G$6*Z11+AF6*Z12+AG6*Z13+AH6*Z14+AI6*Z15+AJ6*Z16+AK6*Z17+AL6*Z18+AM6*Z19+AN6*Z20+AO6*Z21+AP6*Z22+AQ6*Z23+AR6*Z24+AS6*Z25+AT6*Z26+AU6*Z27+AV6*Z28+AW6*Z29+AX6*Z30+AY6*Z31+AZ6*Z32)</f>
        <v>0</v>
      </c>
      <c r="AA36" s="57">
        <f t="shared" ref="AA36" si="20">IF($B$6=0,0,$B$6*AA6+$C$6*AA7+$D$6*AA8+$E$6*AA9+$F$6*AA10+$G$6*AA11+AG6*AA12+AH6*AA13+AI6*AA14+AJ6*AA15+AK6*AA16+AL6*AA17+AM6*AA18+AN6*AA19+AO6*AA20+AP6*AA21+AQ6*AA22+AR6*AA23+AS6*AA24+AT6*AA25+AU6*AA26+AV6*AA27+AW6*AA28+AX6*AA29+AY6*AA30+AZ6*AA31+BA6*AA32)</f>
        <v>0</v>
      </c>
      <c r="AB36" s="57">
        <f t="shared" ref="AB36" si="21">IF($B$6=0,0,$B$6*AB6+$C$6*AB7+$D$6*AB8+$E$6*AB9+$F$6*AB10+$G$6*AB11+AH6*AB12+AI6*AB13+AJ6*AB14+AK6*AB15+AL6*AB16+AM6*AB17+AN6*AB18+AO6*AB19+AP6*AB20+AQ6*AB21+AR6*AB22+AS6*AB23+AT6*AB24+AU6*AB25+AV6*AB26+AW6*AB27+AX6*AB28+AY6*AB29+AZ6*AB30+BA6*AB31+BB6*AB32)</f>
        <v>0</v>
      </c>
      <c r="AC36" s="57">
        <f>SUM(B36:AB36)</f>
        <v>1</v>
      </c>
      <c r="AD36" s="57">
        <f t="shared" ref="AD36:AD62" si="22">AC36/$AC$63</f>
        <v>1</v>
      </c>
      <c r="AE36" s="1"/>
      <c r="AF36" s="1"/>
      <c r="AG36" s="1"/>
      <c r="AH36" s="1"/>
      <c r="AI36" s="1"/>
      <c r="AJ36" s="1"/>
      <c r="AK36" s="1"/>
      <c r="AL36" s="1"/>
      <c r="AM36" s="1"/>
      <c r="AN36" s="1"/>
      <c r="AO36" s="1"/>
      <c r="AP36" s="1"/>
      <c r="AQ36" s="1"/>
      <c r="AR36" s="1"/>
      <c r="AS36" s="1"/>
      <c r="AT36" s="1"/>
      <c r="AU36" s="1"/>
      <c r="AV36" s="1"/>
      <c r="AW36" s="1"/>
      <c r="AX36" s="1"/>
      <c r="AY36" s="1"/>
    </row>
    <row r="37" spans="1:51" x14ac:dyDescent="0.25">
      <c r="A37" s="56"/>
      <c r="B37" s="57">
        <f>IF($B$7=0,0,$B$7*B6+$C$7*B7+$D$7*B8+$E$7*B9+$F$7*B10+$G$7*B11+$H$7*B12+$I$7*B13+$J$7*B14+$K$7*B15+$L$7*B16+$M$7*B17+$N$7*B18+$O$7*B19+$P$7*B20+$Q$7*B21+$R$7*B22+$S$7*B23+$T$7*B24+$U$7*B25+$V$7*B26+$W$7*B27+$X$7*B28+$Y$7*B29+$Z$7*B30+$AA$7*B31+$AB$7*B32)</f>
        <v>0</v>
      </c>
      <c r="C37" s="57">
        <f t="shared" ref="C37:AB37" si="23">IF($B$7=0,0,$B$7*C6+$C$7*C7+$D$7*C8+$E$7*C9+$F$7*C10+$G$7*C11+$H$7*C12+$I$7*C13+$J$7*C14+$K$7*C15+$L$7*C16+$M$7*C17+$N$7*C18+$O$7*C19+$P$7*C20+$Q$7*C21+$R$7*C22+$S$7*C23+$T$7*C24+$U$7*C25+$V$7*C26+$W$7*C27+$X$7*C28+$Y$7*C29+$Z$7*C30+$AA$7*C31+$AB$7*C32)</f>
        <v>0</v>
      </c>
      <c r="D37" s="57">
        <f t="shared" si="23"/>
        <v>0</v>
      </c>
      <c r="E37" s="57">
        <f t="shared" si="23"/>
        <v>0</v>
      </c>
      <c r="F37" s="57">
        <f t="shared" si="23"/>
        <v>0</v>
      </c>
      <c r="G37" s="57">
        <f t="shared" si="23"/>
        <v>0</v>
      </c>
      <c r="H37" s="57">
        <f t="shared" si="23"/>
        <v>0</v>
      </c>
      <c r="I37" s="57">
        <f t="shared" si="23"/>
        <v>0</v>
      </c>
      <c r="J37" s="57">
        <f t="shared" si="23"/>
        <v>0</v>
      </c>
      <c r="K37" s="57">
        <f t="shared" si="23"/>
        <v>0</v>
      </c>
      <c r="L37" s="57">
        <f t="shared" si="23"/>
        <v>0</v>
      </c>
      <c r="M37" s="57">
        <f t="shared" si="23"/>
        <v>0</v>
      </c>
      <c r="N37" s="57">
        <f t="shared" si="23"/>
        <v>0</v>
      </c>
      <c r="O37" s="57">
        <f t="shared" si="23"/>
        <v>0</v>
      </c>
      <c r="P37" s="57">
        <f t="shared" si="23"/>
        <v>0</v>
      </c>
      <c r="Q37" s="57">
        <f t="shared" si="23"/>
        <v>0</v>
      </c>
      <c r="R37" s="57">
        <f t="shared" si="23"/>
        <v>0</v>
      </c>
      <c r="S37" s="57">
        <f t="shared" si="23"/>
        <v>0</v>
      </c>
      <c r="T37" s="57">
        <f t="shared" si="23"/>
        <v>0</v>
      </c>
      <c r="U37" s="57">
        <f t="shared" si="23"/>
        <v>0</v>
      </c>
      <c r="V37" s="57">
        <f t="shared" si="23"/>
        <v>0</v>
      </c>
      <c r="W37" s="57">
        <f t="shared" si="23"/>
        <v>0</v>
      </c>
      <c r="X37" s="57">
        <f t="shared" si="23"/>
        <v>0</v>
      </c>
      <c r="Y37" s="57">
        <f t="shared" si="23"/>
        <v>0</v>
      </c>
      <c r="Z37" s="57">
        <f t="shared" si="23"/>
        <v>0</v>
      </c>
      <c r="AA37" s="57">
        <f t="shared" si="23"/>
        <v>0</v>
      </c>
      <c r="AB37" s="57">
        <f t="shared" si="23"/>
        <v>0</v>
      </c>
      <c r="AC37" s="57">
        <f t="shared" ref="AC37:AC62" si="24">SUM(B37:AB37)</f>
        <v>0</v>
      </c>
      <c r="AD37" s="57">
        <f t="shared" si="22"/>
        <v>0</v>
      </c>
      <c r="AE37" s="1"/>
      <c r="AF37" s="1"/>
      <c r="AG37" s="1"/>
      <c r="AH37" s="1"/>
      <c r="AI37" s="1"/>
      <c r="AJ37" s="1"/>
      <c r="AK37" s="1"/>
      <c r="AL37" s="1"/>
      <c r="AM37" s="1"/>
      <c r="AN37" s="1"/>
      <c r="AO37" s="1"/>
      <c r="AP37" s="1"/>
      <c r="AQ37" s="1"/>
      <c r="AR37" s="1"/>
      <c r="AS37" s="1"/>
      <c r="AT37" s="1"/>
      <c r="AU37" s="1"/>
      <c r="AV37" s="1"/>
      <c r="AW37" s="1"/>
      <c r="AX37" s="1"/>
      <c r="AY37" s="1"/>
    </row>
    <row r="38" spans="1:51" x14ac:dyDescent="0.25">
      <c r="A38" s="56"/>
      <c r="B38" s="57">
        <f>IF($B$8=0,0,$B$8*B6+$C$8*B7+$D$8*B8+$E$8*B9+$F$8*B10+$G$8*B11+$H$8*B12+$I$8*B13+$J$8*B14+$K$8*B15+$L$8*B16+$M$8*B17+$N$8*B18+$O$8*B19+$P$8*B20+$Q$8*B21+$R$8*B22+$S$8*B23+$T$8*B24+$U$8*B25+$V$8*B26+$W$8*B27+$X$8*B28+$Y$8*B29+$Z$8*B30+$AA$8*B31+$AB$8*B32)</f>
        <v>0</v>
      </c>
      <c r="C38" s="57">
        <f t="shared" ref="C38:AB38" si="25">IF($B$8=0,0,$B$8*C6+$C$8*C7+$D$8*C8+$E$8*C9+$F$8*C10+$G$8*C11+$H$8*C12+$I$8*C13+$J$8*C14+$K$8*C15+$L$8*C16+$M$8*C17+$N$8*C18+$O$8*C19+$P$8*C20+$Q$8*C21+$R$8*C22+$S$8*C23+$T$8*C24+$U$8*C25+$V$8*C26+$W$8*C27+$X$8*C28+$Y$8*C29+$Z$8*C30+$AA$8*C31+$AB$8*C32)</f>
        <v>0</v>
      </c>
      <c r="D38" s="57">
        <f t="shared" si="25"/>
        <v>0</v>
      </c>
      <c r="E38" s="57">
        <f t="shared" si="25"/>
        <v>0</v>
      </c>
      <c r="F38" s="57">
        <f t="shared" si="25"/>
        <v>0</v>
      </c>
      <c r="G38" s="57">
        <f t="shared" si="25"/>
        <v>0</v>
      </c>
      <c r="H38" s="57">
        <f t="shared" si="25"/>
        <v>0</v>
      </c>
      <c r="I38" s="57">
        <f t="shared" si="25"/>
        <v>0</v>
      </c>
      <c r="J38" s="57">
        <f t="shared" si="25"/>
        <v>0</v>
      </c>
      <c r="K38" s="57">
        <f t="shared" si="25"/>
        <v>0</v>
      </c>
      <c r="L38" s="57">
        <f t="shared" si="25"/>
        <v>0</v>
      </c>
      <c r="M38" s="57">
        <f t="shared" si="25"/>
        <v>0</v>
      </c>
      <c r="N38" s="57">
        <f t="shared" si="25"/>
        <v>0</v>
      </c>
      <c r="O38" s="57">
        <f t="shared" si="25"/>
        <v>0</v>
      </c>
      <c r="P38" s="57">
        <f t="shared" si="25"/>
        <v>0</v>
      </c>
      <c r="Q38" s="57">
        <f t="shared" si="25"/>
        <v>0</v>
      </c>
      <c r="R38" s="57">
        <f t="shared" si="25"/>
        <v>0</v>
      </c>
      <c r="S38" s="57">
        <f t="shared" si="25"/>
        <v>0</v>
      </c>
      <c r="T38" s="57">
        <f t="shared" si="25"/>
        <v>0</v>
      </c>
      <c r="U38" s="57">
        <f t="shared" si="25"/>
        <v>0</v>
      </c>
      <c r="V38" s="57">
        <f t="shared" si="25"/>
        <v>0</v>
      </c>
      <c r="W38" s="57">
        <f t="shared" si="25"/>
        <v>0</v>
      </c>
      <c r="X38" s="57">
        <f t="shared" si="25"/>
        <v>0</v>
      </c>
      <c r="Y38" s="57">
        <f t="shared" si="25"/>
        <v>0</v>
      </c>
      <c r="Z38" s="57">
        <f t="shared" si="25"/>
        <v>0</v>
      </c>
      <c r="AA38" s="57">
        <f t="shared" si="25"/>
        <v>0</v>
      </c>
      <c r="AB38" s="57">
        <f t="shared" si="25"/>
        <v>0</v>
      </c>
      <c r="AC38" s="57">
        <f t="shared" si="24"/>
        <v>0</v>
      </c>
      <c r="AD38" s="57">
        <f t="shared" si="22"/>
        <v>0</v>
      </c>
      <c r="AE38" s="1"/>
      <c r="AF38" s="1"/>
      <c r="AG38" s="1"/>
      <c r="AH38" s="1"/>
      <c r="AI38" s="1"/>
      <c r="AJ38" s="1"/>
      <c r="AK38" s="1"/>
      <c r="AL38" s="1"/>
      <c r="AM38" s="1"/>
      <c r="AN38" s="1"/>
      <c r="AO38" s="1"/>
      <c r="AP38" s="1"/>
      <c r="AQ38" s="1"/>
      <c r="AR38" s="1"/>
      <c r="AS38" s="1"/>
      <c r="AT38" s="1"/>
      <c r="AU38" s="1"/>
      <c r="AV38" s="1"/>
      <c r="AW38" s="1"/>
      <c r="AX38" s="1"/>
      <c r="AY38" s="1"/>
    </row>
    <row r="39" spans="1:51" x14ac:dyDescent="0.25">
      <c r="A39" s="56"/>
      <c r="B39" s="57">
        <f>IF($B$9=0,0,$B$9*B6+$C$9*B7+$D$9*B8+$E$9*B9+$F$9*B10+$G$9*B11+$H$9*B12+$I$9*B13+$J$9*B14+$K$9*B15+$L$9*B16+$M$9*B17+$N$9*B18+$O$9*B19+$P$9*B20+$Q$9*B21+$R$9*B22+$S$9*B23+$T$9*B24+$U$9*B25+$V$9*B26+$W$9*B27+$X$9*B28+$Y$9*B29+$Z$9*B30+$AA$9*B31+$AB$9*B32)</f>
        <v>0</v>
      </c>
      <c r="C39" s="57">
        <f t="shared" ref="C39:AB39" si="26">IF($B$9=0,0,$B$9*C6+$C$9*C7+$D$9*C8+$E$9*C9+$F$9*C10+$G$9*C11+$H$9*C12+$I$9*C13+$J$9*C14+$K$9*C15+$L$9*C16+$M$9*C17+$N$9*C18+$O$9*C19+$P$9*C20+$Q$9*C21+$R$9*C22+$S$9*C23+$T$9*C24+$U$9*C25+$V$9*C26+$W$9*C27+$X$9*C28+$Y$9*C29+$Z$9*C30+$AA$9*C31+$AB$9*C32)</f>
        <v>0</v>
      </c>
      <c r="D39" s="57">
        <f t="shared" si="26"/>
        <v>0</v>
      </c>
      <c r="E39" s="57">
        <f t="shared" si="26"/>
        <v>0</v>
      </c>
      <c r="F39" s="57">
        <f t="shared" si="26"/>
        <v>0</v>
      </c>
      <c r="G39" s="57">
        <f t="shared" si="26"/>
        <v>0</v>
      </c>
      <c r="H39" s="57">
        <f t="shared" si="26"/>
        <v>0</v>
      </c>
      <c r="I39" s="57">
        <f t="shared" si="26"/>
        <v>0</v>
      </c>
      <c r="J39" s="57">
        <f t="shared" si="26"/>
        <v>0</v>
      </c>
      <c r="K39" s="57">
        <f t="shared" si="26"/>
        <v>0</v>
      </c>
      <c r="L39" s="57">
        <f t="shared" si="26"/>
        <v>0</v>
      </c>
      <c r="M39" s="57">
        <f t="shared" si="26"/>
        <v>0</v>
      </c>
      <c r="N39" s="57">
        <f t="shared" si="26"/>
        <v>0</v>
      </c>
      <c r="O39" s="57">
        <f t="shared" si="26"/>
        <v>0</v>
      </c>
      <c r="P39" s="57">
        <f t="shared" si="26"/>
        <v>0</v>
      </c>
      <c r="Q39" s="57">
        <f t="shared" si="26"/>
        <v>0</v>
      </c>
      <c r="R39" s="57">
        <f t="shared" si="26"/>
        <v>0</v>
      </c>
      <c r="S39" s="57">
        <f t="shared" si="26"/>
        <v>0</v>
      </c>
      <c r="T39" s="57">
        <f t="shared" si="26"/>
        <v>0</v>
      </c>
      <c r="U39" s="57">
        <f t="shared" si="26"/>
        <v>0</v>
      </c>
      <c r="V39" s="57">
        <f t="shared" si="26"/>
        <v>0</v>
      </c>
      <c r="W39" s="57">
        <f t="shared" si="26"/>
        <v>0</v>
      </c>
      <c r="X39" s="57">
        <f t="shared" si="26"/>
        <v>0</v>
      </c>
      <c r="Y39" s="57">
        <f t="shared" si="26"/>
        <v>0</v>
      </c>
      <c r="Z39" s="57">
        <f t="shared" si="26"/>
        <v>0</v>
      </c>
      <c r="AA39" s="57">
        <f t="shared" si="26"/>
        <v>0</v>
      </c>
      <c r="AB39" s="57">
        <f t="shared" si="26"/>
        <v>0</v>
      </c>
      <c r="AC39" s="57">
        <f t="shared" si="24"/>
        <v>0</v>
      </c>
      <c r="AD39" s="57">
        <f t="shared" si="22"/>
        <v>0</v>
      </c>
      <c r="AE39" s="1"/>
      <c r="AF39" s="1"/>
      <c r="AG39" s="1"/>
      <c r="AH39" s="1"/>
      <c r="AI39" s="1"/>
      <c r="AJ39" s="1"/>
      <c r="AK39" s="1"/>
      <c r="AL39" s="1"/>
      <c r="AM39" s="1"/>
      <c r="AN39" s="1"/>
      <c r="AO39" s="1"/>
      <c r="AP39" s="1"/>
      <c r="AQ39" s="1"/>
      <c r="AR39" s="1"/>
      <c r="AS39" s="1"/>
      <c r="AT39" s="1"/>
      <c r="AU39" s="1"/>
      <c r="AV39" s="1"/>
      <c r="AW39" s="1"/>
      <c r="AX39" s="1"/>
      <c r="AY39" s="1"/>
    </row>
    <row r="40" spans="1:51" x14ac:dyDescent="0.25">
      <c r="A40" s="56"/>
      <c r="B40" s="57">
        <f>IF($B$10=0,0,$B$10*B6+$C$10*B7+$D$10*B8+$E$10*B9+$F$10*B10+$G$10*B11+$H$10*B12+$I$10*B13+$J$10*B14+$K$10*B15+$L$10*B16+$M$10*B17+$N$10*B18+$O$10*B19+$P$10*B20+$Q$10*B21+$R$10*B22+$S$10*B23+$T$10*B24+$U$10*B25+$V$10*B26+$W$10*B27+$X$10*B28+$Y$10*B29+$Z$10*B30+$AA$10*B31+$AB$10*B32)</f>
        <v>0</v>
      </c>
      <c r="C40" s="57">
        <f t="shared" ref="C40:AB40" si="27">IF($B$10=0,0,$B$10*C6+$C$10*C7+$D$10*C8+$E$10*C9+$F$10*C10+$G$10*C11+$H$10*C12+$I$10*C13+$J$10*C14+$K$10*C15+$L$10*C16+$M$10*C17+$N$10*C18+$O$10*C19+$P$10*C20+$Q$10*C21+$R$10*C22+$S$10*C23+$T$10*C24+$U$10*C25+$V$10*C26+$W$10*C27+$X$10*C28+$Y$10*C29+$Z$10*C30+$AA$10*C31+$AB$10*C32)</f>
        <v>0</v>
      </c>
      <c r="D40" s="57">
        <f t="shared" si="27"/>
        <v>0</v>
      </c>
      <c r="E40" s="57">
        <f t="shared" si="27"/>
        <v>0</v>
      </c>
      <c r="F40" s="57">
        <f t="shared" si="27"/>
        <v>0</v>
      </c>
      <c r="G40" s="57">
        <f t="shared" si="27"/>
        <v>0</v>
      </c>
      <c r="H40" s="57">
        <f t="shared" si="27"/>
        <v>0</v>
      </c>
      <c r="I40" s="57">
        <f t="shared" si="27"/>
        <v>0</v>
      </c>
      <c r="J40" s="57">
        <f t="shared" si="27"/>
        <v>0</v>
      </c>
      <c r="K40" s="57">
        <f t="shared" si="27"/>
        <v>0</v>
      </c>
      <c r="L40" s="57">
        <f t="shared" si="27"/>
        <v>0</v>
      </c>
      <c r="M40" s="57">
        <f t="shared" si="27"/>
        <v>0</v>
      </c>
      <c r="N40" s="57">
        <f t="shared" si="27"/>
        <v>0</v>
      </c>
      <c r="O40" s="57">
        <f t="shared" si="27"/>
        <v>0</v>
      </c>
      <c r="P40" s="57">
        <f t="shared" si="27"/>
        <v>0</v>
      </c>
      <c r="Q40" s="57">
        <f t="shared" si="27"/>
        <v>0</v>
      </c>
      <c r="R40" s="57">
        <f t="shared" si="27"/>
        <v>0</v>
      </c>
      <c r="S40" s="57">
        <f t="shared" si="27"/>
        <v>0</v>
      </c>
      <c r="T40" s="57">
        <f t="shared" si="27"/>
        <v>0</v>
      </c>
      <c r="U40" s="57">
        <f t="shared" si="27"/>
        <v>0</v>
      </c>
      <c r="V40" s="57">
        <f t="shared" si="27"/>
        <v>0</v>
      </c>
      <c r="W40" s="57">
        <f t="shared" si="27"/>
        <v>0</v>
      </c>
      <c r="X40" s="57">
        <f t="shared" si="27"/>
        <v>0</v>
      </c>
      <c r="Y40" s="57">
        <f t="shared" si="27"/>
        <v>0</v>
      </c>
      <c r="Z40" s="57">
        <f t="shared" si="27"/>
        <v>0</v>
      </c>
      <c r="AA40" s="57">
        <f t="shared" si="27"/>
        <v>0</v>
      </c>
      <c r="AB40" s="57">
        <f t="shared" si="27"/>
        <v>0</v>
      </c>
      <c r="AC40" s="57">
        <f t="shared" si="24"/>
        <v>0</v>
      </c>
      <c r="AD40" s="57">
        <f t="shared" si="22"/>
        <v>0</v>
      </c>
      <c r="AE40" s="1"/>
      <c r="AF40" s="1"/>
      <c r="AG40" s="1"/>
      <c r="AH40" s="1"/>
      <c r="AI40" s="1"/>
      <c r="AJ40" s="1"/>
      <c r="AK40" s="1"/>
      <c r="AL40" s="1"/>
      <c r="AM40" s="1"/>
      <c r="AN40" s="1"/>
      <c r="AO40" s="1"/>
      <c r="AP40" s="1"/>
      <c r="AQ40" s="1"/>
      <c r="AR40" s="1"/>
      <c r="AS40" s="1"/>
      <c r="AT40" s="1"/>
      <c r="AU40" s="1"/>
      <c r="AV40" s="1"/>
      <c r="AW40" s="1"/>
      <c r="AX40" s="1"/>
      <c r="AY40" s="1"/>
    </row>
    <row r="41" spans="1:51" x14ac:dyDescent="0.25">
      <c r="A41" s="56"/>
      <c r="B41" s="57">
        <f>IF($B$11=0,0,$B$11*B6+$C$11*B7+$D$11*B8+$E$11*B9+$F$11*B10+$G$11*B11+$H$11*B12+$I$11*B13+$J$11*B14+$K$11*B15+$L$11*B16+$M$11*B17+$N$11*B18+$O$11*B19+$P$11*B20+$Q$11*B21+$R$11*B22+$S$11*B23+$T$11*B24+$U$11*B25+$V$11*B26+$W$11*B27+$X$11*B28+$Y$11*B29+$Z$11*B30+$AA$11*B31+$AB$11*B32)</f>
        <v>0</v>
      </c>
      <c r="C41" s="57">
        <f t="shared" ref="C41:AB41" si="28">IF($B$11=0,0,$B$11*C6+$C$11*C7+$D$11*C8+$E$11*C9+$F$11*C10+$G$11*C11+$H$11*C12+$I$11*C13+$J$11*C14+$K$11*C15+$L$11*C16+$M$11*C17+$N$11*C18+$O$11*C19+$P$11*C20+$Q$11*C21+$R$11*C22+$S$11*C23+$T$11*C24+$U$11*C25+$V$11*C26+$W$11*C27+$X$11*C28+$Y$11*C29+$Z$11*C30+$AA$11*C31+$AB$11*C32)</f>
        <v>0</v>
      </c>
      <c r="D41" s="57">
        <f t="shared" si="28"/>
        <v>0</v>
      </c>
      <c r="E41" s="57">
        <f t="shared" si="28"/>
        <v>0</v>
      </c>
      <c r="F41" s="57">
        <f t="shared" si="28"/>
        <v>0</v>
      </c>
      <c r="G41" s="57">
        <f t="shared" si="28"/>
        <v>0</v>
      </c>
      <c r="H41" s="57">
        <f t="shared" si="28"/>
        <v>0</v>
      </c>
      <c r="I41" s="57">
        <f t="shared" si="28"/>
        <v>0</v>
      </c>
      <c r="J41" s="57">
        <f t="shared" si="28"/>
        <v>0</v>
      </c>
      <c r="K41" s="57">
        <f t="shared" si="28"/>
        <v>0</v>
      </c>
      <c r="L41" s="57">
        <f t="shared" si="28"/>
        <v>0</v>
      </c>
      <c r="M41" s="57">
        <f t="shared" si="28"/>
        <v>0</v>
      </c>
      <c r="N41" s="57">
        <f t="shared" si="28"/>
        <v>0</v>
      </c>
      <c r="O41" s="57">
        <f t="shared" si="28"/>
        <v>0</v>
      </c>
      <c r="P41" s="57">
        <f t="shared" si="28"/>
        <v>0</v>
      </c>
      <c r="Q41" s="57">
        <f t="shared" si="28"/>
        <v>0</v>
      </c>
      <c r="R41" s="57">
        <f t="shared" si="28"/>
        <v>0</v>
      </c>
      <c r="S41" s="57">
        <f t="shared" si="28"/>
        <v>0</v>
      </c>
      <c r="T41" s="57">
        <f t="shared" si="28"/>
        <v>0</v>
      </c>
      <c r="U41" s="57">
        <f t="shared" si="28"/>
        <v>0</v>
      </c>
      <c r="V41" s="57">
        <f t="shared" si="28"/>
        <v>0</v>
      </c>
      <c r="W41" s="57">
        <f t="shared" si="28"/>
        <v>0</v>
      </c>
      <c r="X41" s="57">
        <f t="shared" si="28"/>
        <v>0</v>
      </c>
      <c r="Y41" s="57">
        <f t="shared" si="28"/>
        <v>0</v>
      </c>
      <c r="Z41" s="57">
        <f t="shared" si="28"/>
        <v>0</v>
      </c>
      <c r="AA41" s="57">
        <f t="shared" si="28"/>
        <v>0</v>
      </c>
      <c r="AB41" s="57">
        <f t="shared" si="28"/>
        <v>0</v>
      </c>
      <c r="AC41" s="57">
        <f t="shared" si="24"/>
        <v>0</v>
      </c>
      <c r="AD41" s="57">
        <f t="shared" si="22"/>
        <v>0</v>
      </c>
      <c r="AE41" s="1"/>
      <c r="AF41" s="1"/>
      <c r="AG41" s="1"/>
      <c r="AH41" s="1"/>
      <c r="AI41" s="1"/>
      <c r="AJ41" s="1"/>
      <c r="AK41" s="1"/>
      <c r="AL41" s="1"/>
      <c r="AM41" s="1"/>
      <c r="AN41" s="1"/>
      <c r="AO41" s="1"/>
      <c r="AP41" s="1"/>
      <c r="AQ41" s="1"/>
      <c r="AR41" s="1"/>
      <c r="AS41" s="1"/>
      <c r="AT41" s="1"/>
      <c r="AU41" s="1"/>
      <c r="AV41" s="1"/>
      <c r="AW41" s="1"/>
      <c r="AX41" s="1"/>
      <c r="AY41" s="1"/>
    </row>
    <row r="42" spans="1:51" x14ac:dyDescent="0.25">
      <c r="A42" s="56"/>
      <c r="B42" s="57">
        <f>IF($B$12=0,0,$B$12*B6+$C$12*B7+$D$12*B8+$E$12*B9+$F$12*B10+$G$12*B11+$H$12*B12+$I$12*B13+$J$12*B14+$K$12*B15+$L$12*B16+$M$12*B17+$N$12*B18+$O$12*B19+$P$12*B20+$Q$12*B21+$R$12*B22+$S$12*B23+$T$12*B24+$U$12*B25+$V$12*B26+$W$12*B27+$X$12*B28+$Y$12*B29+$Z$12*B30+$AA$12*B31+$AB$12*B32)</f>
        <v>0</v>
      </c>
      <c r="C42" s="57">
        <f t="shared" ref="C42:AB42" si="29">IF($B$12=0,0,$B$12*C6+$C$12*C7+$D$12*C8+$E$12*C9+$F$12*C10+$G$12*C11+$H$12*C12+$I$12*C13+$J$12*C14+$K$12*C15+$L$12*C16+$M$12*C17+$N$12*C18+$O$12*C19+$P$12*C20+$Q$12*C21+$R$12*C22+$S$12*C23+$T$12*C24+$U$12*C25+$V$12*C26+$W$12*C27+$X$12*C28+$Y$12*C29+$Z$12*C30+$AA$12*C31+$AB$12*C32)</f>
        <v>0</v>
      </c>
      <c r="D42" s="57">
        <f t="shared" si="29"/>
        <v>0</v>
      </c>
      <c r="E42" s="57">
        <f t="shared" si="29"/>
        <v>0</v>
      </c>
      <c r="F42" s="57">
        <f t="shared" si="29"/>
        <v>0</v>
      </c>
      <c r="G42" s="57">
        <f t="shared" si="29"/>
        <v>0</v>
      </c>
      <c r="H42" s="57">
        <f t="shared" si="29"/>
        <v>0</v>
      </c>
      <c r="I42" s="57">
        <f t="shared" si="29"/>
        <v>0</v>
      </c>
      <c r="J42" s="57">
        <f t="shared" si="29"/>
        <v>0</v>
      </c>
      <c r="K42" s="57">
        <f t="shared" si="29"/>
        <v>0</v>
      </c>
      <c r="L42" s="57">
        <f t="shared" si="29"/>
        <v>0</v>
      </c>
      <c r="M42" s="57">
        <f t="shared" si="29"/>
        <v>0</v>
      </c>
      <c r="N42" s="57">
        <f t="shared" si="29"/>
        <v>0</v>
      </c>
      <c r="O42" s="57">
        <f t="shared" si="29"/>
        <v>0</v>
      </c>
      <c r="P42" s="57">
        <f t="shared" si="29"/>
        <v>0</v>
      </c>
      <c r="Q42" s="57">
        <f t="shared" si="29"/>
        <v>0</v>
      </c>
      <c r="R42" s="57">
        <f t="shared" si="29"/>
        <v>0</v>
      </c>
      <c r="S42" s="57">
        <f t="shared" si="29"/>
        <v>0</v>
      </c>
      <c r="T42" s="57">
        <f t="shared" si="29"/>
        <v>0</v>
      </c>
      <c r="U42" s="57">
        <f t="shared" si="29"/>
        <v>0</v>
      </c>
      <c r="V42" s="57">
        <f t="shared" si="29"/>
        <v>0</v>
      </c>
      <c r="W42" s="57">
        <f t="shared" si="29"/>
        <v>0</v>
      </c>
      <c r="X42" s="57">
        <f t="shared" si="29"/>
        <v>0</v>
      </c>
      <c r="Y42" s="57">
        <f t="shared" si="29"/>
        <v>0</v>
      </c>
      <c r="Z42" s="57">
        <f t="shared" si="29"/>
        <v>0</v>
      </c>
      <c r="AA42" s="57">
        <f t="shared" si="29"/>
        <v>0</v>
      </c>
      <c r="AB42" s="57">
        <f t="shared" si="29"/>
        <v>0</v>
      </c>
      <c r="AC42" s="57">
        <f t="shared" si="24"/>
        <v>0</v>
      </c>
      <c r="AD42" s="57">
        <f t="shared" si="22"/>
        <v>0</v>
      </c>
      <c r="AE42" s="1"/>
      <c r="AF42" s="1"/>
      <c r="AG42" s="1"/>
      <c r="AH42" s="1"/>
      <c r="AI42" s="1"/>
      <c r="AJ42" s="1"/>
      <c r="AK42" s="1"/>
      <c r="AL42" s="1"/>
      <c r="AM42" s="1"/>
      <c r="AN42" s="1"/>
      <c r="AO42" s="1"/>
      <c r="AP42" s="1"/>
      <c r="AQ42" s="1"/>
      <c r="AR42" s="1"/>
      <c r="AS42" s="1"/>
      <c r="AT42" s="1"/>
      <c r="AU42" s="1"/>
      <c r="AV42" s="1"/>
      <c r="AW42" s="1"/>
      <c r="AX42" s="1"/>
      <c r="AY42" s="1"/>
    </row>
    <row r="43" spans="1:51" x14ac:dyDescent="0.25">
      <c r="A43" s="56"/>
      <c r="B43" s="57">
        <f>IF($B$13=0,0,$B$13*B6+$C$13*B7+$D$13*B8+$E$13*B9+$F$13*B10+$G$13*B11+$H$13*B12+$I$13*B13+$J$13*B14+$K$13*B15+$L$13*B16+$M$13*B17+$N$13*B18+$O$13*B19+$P$13*B20+$Q$13*B21+$R$13*B22+$S$13*B23+$T$13*B24+$U$13*B25+$V$13*B26+$W$13*B27+$X$13*B28+$Y$13*B29+$Z$13*B30+$AA$13*B31+$AB$13*B32)</f>
        <v>0</v>
      </c>
      <c r="C43" s="57">
        <f t="shared" ref="C43:AB43" si="30">IF($B$13=0,0,$B$13*C6+$C$13*C7+$D$13*C8+$E$13*C9+$F$13*C10+$G$13*C11+$H$13*C12+$I$13*C13+$J$13*C14+$K$13*C15+$L$13*C16+$M$13*C17+$N$13*C18+$O$13*C19+$P$13*C20+$Q$13*C21+$R$13*C22+$S$13*C23+$T$13*C24+$U$13*C25+$V$13*C26+$W$13*C27+$X$13*C28+$Y$13*C29+$Z$13*C30+$AA$13*C31+$AB$13*C32)</f>
        <v>0</v>
      </c>
      <c r="D43" s="57">
        <f t="shared" si="30"/>
        <v>0</v>
      </c>
      <c r="E43" s="57">
        <f t="shared" si="30"/>
        <v>0</v>
      </c>
      <c r="F43" s="57">
        <f t="shared" si="30"/>
        <v>0</v>
      </c>
      <c r="G43" s="57">
        <f t="shared" si="30"/>
        <v>0</v>
      </c>
      <c r="H43" s="57">
        <f t="shared" si="30"/>
        <v>0</v>
      </c>
      <c r="I43" s="57">
        <f t="shared" si="30"/>
        <v>0</v>
      </c>
      <c r="J43" s="57">
        <f t="shared" si="30"/>
        <v>0</v>
      </c>
      <c r="K43" s="57">
        <f t="shared" si="30"/>
        <v>0</v>
      </c>
      <c r="L43" s="57">
        <f t="shared" si="30"/>
        <v>0</v>
      </c>
      <c r="M43" s="57">
        <f t="shared" si="30"/>
        <v>0</v>
      </c>
      <c r="N43" s="57">
        <f t="shared" si="30"/>
        <v>0</v>
      </c>
      <c r="O43" s="57">
        <f t="shared" si="30"/>
        <v>0</v>
      </c>
      <c r="P43" s="57">
        <f t="shared" si="30"/>
        <v>0</v>
      </c>
      <c r="Q43" s="57">
        <f t="shared" si="30"/>
        <v>0</v>
      </c>
      <c r="R43" s="57">
        <f t="shared" si="30"/>
        <v>0</v>
      </c>
      <c r="S43" s="57">
        <f t="shared" si="30"/>
        <v>0</v>
      </c>
      <c r="T43" s="57">
        <f t="shared" si="30"/>
        <v>0</v>
      </c>
      <c r="U43" s="57">
        <f t="shared" si="30"/>
        <v>0</v>
      </c>
      <c r="V43" s="57">
        <f t="shared" si="30"/>
        <v>0</v>
      </c>
      <c r="W43" s="57">
        <f t="shared" si="30"/>
        <v>0</v>
      </c>
      <c r="X43" s="57">
        <f t="shared" si="30"/>
        <v>0</v>
      </c>
      <c r="Y43" s="57">
        <f t="shared" si="30"/>
        <v>0</v>
      </c>
      <c r="Z43" s="57">
        <f t="shared" si="30"/>
        <v>0</v>
      </c>
      <c r="AA43" s="57">
        <f t="shared" si="30"/>
        <v>0</v>
      </c>
      <c r="AB43" s="57">
        <f t="shared" si="30"/>
        <v>0</v>
      </c>
      <c r="AC43" s="57">
        <f t="shared" si="24"/>
        <v>0</v>
      </c>
      <c r="AD43" s="57">
        <f t="shared" si="22"/>
        <v>0</v>
      </c>
      <c r="AE43" s="1"/>
      <c r="AF43" s="1"/>
      <c r="AG43" s="1"/>
      <c r="AH43" s="1"/>
      <c r="AI43" s="1"/>
      <c r="AJ43" s="1"/>
      <c r="AK43" s="1"/>
      <c r="AL43" s="1"/>
      <c r="AM43" s="1"/>
      <c r="AN43" s="1"/>
      <c r="AO43" s="1"/>
      <c r="AP43" s="1"/>
      <c r="AQ43" s="1"/>
      <c r="AR43" s="1"/>
      <c r="AS43" s="1"/>
      <c r="AT43" s="1"/>
      <c r="AU43" s="1"/>
      <c r="AV43" s="1"/>
      <c r="AW43" s="1"/>
      <c r="AX43" s="1"/>
      <c r="AY43" s="1"/>
    </row>
    <row r="44" spans="1:51" x14ac:dyDescent="0.25">
      <c r="A44" s="56"/>
      <c r="B44" s="57">
        <f>IF($B$14=0,0,$B$14*B6+$C$14*B7+$D$14*B8+$E$14*B9+$F$14*B10+$G$14*B11+$H$14*B12+$I$14*B13+$J$14*B14+$K$14*B15+$L$14*B16+$M$14*B17+$N$14*B18+$O$14*B19+$P$14*B20+$Q$14*B21+$R$14*B22+$S$14*B23+$T$14*B24+$U$14*B25+$V$14*B26+$W$14*B27+$X$14*B28+$Y$14*B29+$Z$14*B30+$AA$14*B31+$AB$14*B32)</f>
        <v>0</v>
      </c>
      <c r="C44" s="57">
        <f t="shared" ref="C44:AB44" si="31">IF($B$14=0,0,$B$14*C6+$C$14*C7+$D$14*C8+$E$14*C9+$F$14*C10+$G$14*C11+$H$14*C12+$I$14*C13+$J$14*C14+$K$14*C15+$L$14*C16+$M$14*C17+$N$14*C18+$O$14*C19+$P$14*C20+$Q$14*C21+$R$14*C22+$S$14*C23+$T$14*C24+$U$14*C25+$V$14*C26+$W$14*C27+$X$14*C28+$Y$14*C29+$Z$14*C30+$AA$14*C31+$AB$14*C32)</f>
        <v>0</v>
      </c>
      <c r="D44" s="57">
        <f t="shared" si="31"/>
        <v>0</v>
      </c>
      <c r="E44" s="57">
        <f t="shared" si="31"/>
        <v>0</v>
      </c>
      <c r="F44" s="57">
        <f t="shared" si="31"/>
        <v>0</v>
      </c>
      <c r="G44" s="57">
        <f t="shared" si="31"/>
        <v>0</v>
      </c>
      <c r="H44" s="57">
        <f t="shared" si="31"/>
        <v>0</v>
      </c>
      <c r="I44" s="57">
        <f t="shared" si="31"/>
        <v>0</v>
      </c>
      <c r="J44" s="57">
        <f t="shared" si="31"/>
        <v>0</v>
      </c>
      <c r="K44" s="57">
        <f t="shared" si="31"/>
        <v>0</v>
      </c>
      <c r="L44" s="57">
        <f t="shared" si="31"/>
        <v>0</v>
      </c>
      <c r="M44" s="57">
        <f t="shared" si="31"/>
        <v>0</v>
      </c>
      <c r="N44" s="57">
        <f t="shared" si="31"/>
        <v>0</v>
      </c>
      <c r="O44" s="57">
        <f t="shared" si="31"/>
        <v>0</v>
      </c>
      <c r="P44" s="57">
        <f t="shared" si="31"/>
        <v>0</v>
      </c>
      <c r="Q44" s="57">
        <f t="shared" si="31"/>
        <v>0</v>
      </c>
      <c r="R44" s="57">
        <f t="shared" si="31"/>
        <v>0</v>
      </c>
      <c r="S44" s="57">
        <f t="shared" si="31"/>
        <v>0</v>
      </c>
      <c r="T44" s="57">
        <f t="shared" si="31"/>
        <v>0</v>
      </c>
      <c r="U44" s="57">
        <f t="shared" si="31"/>
        <v>0</v>
      </c>
      <c r="V44" s="57">
        <f t="shared" si="31"/>
        <v>0</v>
      </c>
      <c r="W44" s="57">
        <f t="shared" si="31"/>
        <v>0</v>
      </c>
      <c r="X44" s="57">
        <f t="shared" si="31"/>
        <v>0</v>
      </c>
      <c r="Y44" s="57">
        <f t="shared" si="31"/>
        <v>0</v>
      </c>
      <c r="Z44" s="57">
        <f t="shared" si="31"/>
        <v>0</v>
      </c>
      <c r="AA44" s="57">
        <f t="shared" si="31"/>
        <v>0</v>
      </c>
      <c r="AB44" s="57">
        <f t="shared" si="31"/>
        <v>0</v>
      </c>
      <c r="AC44" s="57">
        <f t="shared" si="24"/>
        <v>0</v>
      </c>
      <c r="AD44" s="57">
        <f t="shared" si="22"/>
        <v>0</v>
      </c>
      <c r="AE44" s="1"/>
      <c r="AF44" s="1"/>
      <c r="AG44" s="1"/>
      <c r="AH44" s="1"/>
      <c r="AI44" s="1"/>
      <c r="AJ44" s="1"/>
      <c r="AK44" s="1"/>
      <c r="AL44" s="1"/>
      <c r="AM44" s="1"/>
      <c r="AN44" s="1"/>
      <c r="AO44" s="1"/>
      <c r="AP44" s="1"/>
      <c r="AQ44" s="1"/>
      <c r="AR44" s="1"/>
      <c r="AS44" s="1"/>
      <c r="AT44" s="1"/>
      <c r="AU44" s="1"/>
      <c r="AV44" s="1"/>
      <c r="AW44" s="1"/>
      <c r="AX44" s="1"/>
      <c r="AY44" s="1"/>
    </row>
    <row r="45" spans="1:51" x14ac:dyDescent="0.25">
      <c r="A45" s="56"/>
      <c r="B45" s="57">
        <f>IF($B$15=0,0,$B$15*B6+$C$15*B7+$D$15*B8+$E$15*B9+$F$15*B10+$G$15*B11+$H$15*B12+$I$15*B13+$J$15*B14+$K$15*B15+$L$15*B16+$M$15*B17+$N$15*B18+$O$15*B19+$P$15*B20+$Q$15*B21+$R$15*B22+$S$15*B23+$T$15*B24+$U$15*B25+$V$15*B26+$W$15*B27+$X$15*B28+$Y$15*B29+$Z$15*B30+$AA$15*B31+$AB$15*B32)</f>
        <v>0</v>
      </c>
      <c r="C45" s="57">
        <f t="shared" ref="C45:AB45" si="32">IF($B$15=0,0,$B$15*C6+$C$15*C7+$D$15*C8+$E$15*C9+$F$15*C10+$G$15*C11+$H$15*C12+$I$15*C13+$J$15*C14+$K$15*C15+$L$15*C16+$M$15*C17+$N$15*C18+$O$15*C19+$P$15*C20+$Q$15*C21+$R$15*C22+$S$15*C23+$T$15*C24+$U$15*C25+$V$15*C26+$W$15*C27+$X$15*C28+$Y$15*C29+$Z$15*C30+$AA$15*C31+$AB$15*C32)</f>
        <v>0</v>
      </c>
      <c r="D45" s="57">
        <f t="shared" si="32"/>
        <v>0</v>
      </c>
      <c r="E45" s="57">
        <f t="shared" si="32"/>
        <v>0</v>
      </c>
      <c r="F45" s="57">
        <f t="shared" si="32"/>
        <v>0</v>
      </c>
      <c r="G45" s="57">
        <f t="shared" si="32"/>
        <v>0</v>
      </c>
      <c r="H45" s="57">
        <f t="shared" si="32"/>
        <v>0</v>
      </c>
      <c r="I45" s="57">
        <f t="shared" si="32"/>
        <v>0</v>
      </c>
      <c r="J45" s="57">
        <f t="shared" si="32"/>
        <v>0</v>
      </c>
      <c r="K45" s="57">
        <f t="shared" si="32"/>
        <v>0</v>
      </c>
      <c r="L45" s="57">
        <f t="shared" si="32"/>
        <v>0</v>
      </c>
      <c r="M45" s="57">
        <f t="shared" si="32"/>
        <v>0</v>
      </c>
      <c r="N45" s="57">
        <f t="shared" si="32"/>
        <v>0</v>
      </c>
      <c r="O45" s="57">
        <f t="shared" si="32"/>
        <v>0</v>
      </c>
      <c r="P45" s="57">
        <f t="shared" si="32"/>
        <v>0</v>
      </c>
      <c r="Q45" s="57">
        <f t="shared" si="32"/>
        <v>0</v>
      </c>
      <c r="R45" s="57">
        <f t="shared" si="32"/>
        <v>0</v>
      </c>
      <c r="S45" s="57">
        <f t="shared" si="32"/>
        <v>0</v>
      </c>
      <c r="T45" s="57">
        <f t="shared" si="32"/>
        <v>0</v>
      </c>
      <c r="U45" s="57">
        <f t="shared" si="32"/>
        <v>0</v>
      </c>
      <c r="V45" s="57">
        <f t="shared" si="32"/>
        <v>0</v>
      </c>
      <c r="W45" s="57">
        <f t="shared" si="32"/>
        <v>0</v>
      </c>
      <c r="X45" s="57">
        <f t="shared" si="32"/>
        <v>0</v>
      </c>
      <c r="Y45" s="57">
        <f t="shared" si="32"/>
        <v>0</v>
      </c>
      <c r="Z45" s="57">
        <f t="shared" si="32"/>
        <v>0</v>
      </c>
      <c r="AA45" s="57">
        <f t="shared" si="32"/>
        <v>0</v>
      </c>
      <c r="AB45" s="57">
        <f t="shared" si="32"/>
        <v>0</v>
      </c>
      <c r="AC45" s="57">
        <f t="shared" si="24"/>
        <v>0</v>
      </c>
      <c r="AD45" s="57">
        <f t="shared" si="22"/>
        <v>0</v>
      </c>
      <c r="AE45" s="1"/>
      <c r="AF45" s="1"/>
      <c r="AG45" s="1"/>
      <c r="AH45" s="1"/>
      <c r="AI45" s="1"/>
      <c r="AJ45" s="1"/>
      <c r="AK45" s="1"/>
      <c r="AL45" s="1"/>
      <c r="AM45" s="1"/>
      <c r="AN45" s="1"/>
      <c r="AO45" s="1"/>
      <c r="AP45" s="1"/>
      <c r="AQ45" s="1"/>
      <c r="AR45" s="1"/>
      <c r="AS45" s="1"/>
      <c r="AT45" s="1"/>
      <c r="AU45" s="1"/>
      <c r="AV45" s="1"/>
      <c r="AW45" s="1"/>
      <c r="AX45" s="1"/>
      <c r="AY45" s="1"/>
    </row>
    <row r="46" spans="1:51" x14ac:dyDescent="0.25">
      <c r="A46" s="56"/>
      <c r="B46" s="57">
        <f>IF($B$16=0,0,$B$16*B6+$C$16*B7+$D$16*B8+$E$16*B9+$F$16*B10+$G$16*B11+$H$16*B12+$I$16*B13+$J$16*B14+$K$16*B15+$L$16*B16+$M$16*B17+$N$16*B18+$O$16*B19+$P$16*B20+$Q$16*B21+$R$16*B22+$S$16*B23+$T$16*B24+$U$16*B25+$V$16*B26+$W$16*B27+$X$16*B28+$Y$16*B29+$Z$16*B30+$AA$16*B31+$AB$16*B32)</f>
        <v>0</v>
      </c>
      <c r="C46" s="57">
        <f t="shared" ref="C46:AB46" si="33">IF($B$16=0,0,$B$16*C6+$C$16*C7+$D$16*C8+$E$16*C9+$F$16*C10+$G$16*C11+$H$16*C12+$I$16*C13+$J$16*C14+$K$16*C15+$L$16*C16+$M$16*C17+$N$16*C18+$O$16*C19+$P$16*C20+$Q$16*C21+$R$16*C22+$S$16*C23+$T$16*C24+$U$16*C25+$V$16*C26+$W$16*C27+$X$16*C28+$Y$16*C29+$Z$16*C30+$AA$16*C31+$AB$16*C32)</f>
        <v>0</v>
      </c>
      <c r="D46" s="57">
        <f t="shared" si="33"/>
        <v>0</v>
      </c>
      <c r="E46" s="57">
        <f t="shared" si="33"/>
        <v>0</v>
      </c>
      <c r="F46" s="57">
        <f t="shared" si="33"/>
        <v>0</v>
      </c>
      <c r="G46" s="57">
        <f t="shared" si="33"/>
        <v>0</v>
      </c>
      <c r="H46" s="57">
        <f t="shared" si="33"/>
        <v>0</v>
      </c>
      <c r="I46" s="57">
        <f t="shared" si="33"/>
        <v>0</v>
      </c>
      <c r="J46" s="57">
        <f t="shared" si="33"/>
        <v>0</v>
      </c>
      <c r="K46" s="57">
        <f t="shared" si="33"/>
        <v>0</v>
      </c>
      <c r="L46" s="57">
        <f t="shared" si="33"/>
        <v>0</v>
      </c>
      <c r="M46" s="57">
        <f t="shared" si="33"/>
        <v>0</v>
      </c>
      <c r="N46" s="57">
        <f t="shared" si="33"/>
        <v>0</v>
      </c>
      <c r="O46" s="57">
        <f t="shared" si="33"/>
        <v>0</v>
      </c>
      <c r="P46" s="57">
        <f t="shared" si="33"/>
        <v>0</v>
      </c>
      <c r="Q46" s="57">
        <f t="shared" si="33"/>
        <v>0</v>
      </c>
      <c r="R46" s="57">
        <f t="shared" si="33"/>
        <v>0</v>
      </c>
      <c r="S46" s="57">
        <f t="shared" si="33"/>
        <v>0</v>
      </c>
      <c r="T46" s="57">
        <f t="shared" si="33"/>
        <v>0</v>
      </c>
      <c r="U46" s="57">
        <f t="shared" si="33"/>
        <v>0</v>
      </c>
      <c r="V46" s="57">
        <f t="shared" si="33"/>
        <v>0</v>
      </c>
      <c r="W46" s="57">
        <f t="shared" si="33"/>
        <v>0</v>
      </c>
      <c r="X46" s="57">
        <f t="shared" si="33"/>
        <v>0</v>
      </c>
      <c r="Y46" s="57">
        <f t="shared" si="33"/>
        <v>0</v>
      </c>
      <c r="Z46" s="57">
        <f t="shared" si="33"/>
        <v>0</v>
      </c>
      <c r="AA46" s="57">
        <f t="shared" si="33"/>
        <v>0</v>
      </c>
      <c r="AB46" s="57">
        <f t="shared" si="33"/>
        <v>0</v>
      </c>
      <c r="AC46" s="57">
        <f t="shared" si="24"/>
        <v>0</v>
      </c>
      <c r="AD46" s="57">
        <f t="shared" si="22"/>
        <v>0</v>
      </c>
      <c r="AE46" s="1"/>
      <c r="AF46" s="1"/>
      <c r="AG46" s="1"/>
      <c r="AH46" s="1"/>
      <c r="AI46" s="1"/>
      <c r="AJ46" s="1"/>
      <c r="AK46" s="1"/>
      <c r="AL46" s="1"/>
      <c r="AM46" s="1"/>
      <c r="AN46" s="1"/>
      <c r="AO46" s="1"/>
      <c r="AP46" s="1"/>
      <c r="AQ46" s="1"/>
      <c r="AR46" s="1"/>
      <c r="AS46" s="1"/>
      <c r="AT46" s="1"/>
      <c r="AU46" s="1"/>
      <c r="AV46" s="1"/>
      <c r="AW46" s="1"/>
      <c r="AX46" s="1"/>
      <c r="AY46" s="1"/>
    </row>
    <row r="47" spans="1:51" x14ac:dyDescent="0.25">
      <c r="A47" s="56"/>
      <c r="B47" s="57">
        <f>IF($B$17=0,0,$B$17*B6+$C$17*B7+$D$17*B8+$E$17*B9+$F$17*B10+$G$17*B11+$H$17*B12+$I$17*B13+$J$17*B14+$K$17*B15+$L$17*B16+$M$17*B17+$N$17*B18+$O$17*B19+$P$17*B20+$Q$17*B21+$R$17*B22+$S$17*B23+$T$17*B24+$U$17*B25+$V$17*B26+$W$17*B27+$X$17*B28+$Y$17*B29+$Z$17*B30+$AA$17*B31+$AB$17*B32)</f>
        <v>0</v>
      </c>
      <c r="C47" s="57">
        <f t="shared" ref="C47:AB47" si="34">IF($B$17=0,0,$B$17*C6+$C$17*C7+$D$17*C8+$E$17*C9+$F$17*C10+$G$17*C11+$H$17*C12+$I$17*C13+$J$17*C14+$K$17*C15+$L$17*C16+$M$17*C17+$N$17*C18+$O$17*C19+$P$17*C20+$Q$17*C21+$R$17*C22+$S$17*C23+$T$17*C24+$U$17*C25+$V$17*C26+$W$17*C27+$X$17*C28+$Y$17*C29+$Z$17*C30+$AA$17*C31+$AB$17*C32)</f>
        <v>0</v>
      </c>
      <c r="D47" s="57">
        <f t="shared" si="34"/>
        <v>0</v>
      </c>
      <c r="E47" s="57">
        <f t="shared" si="34"/>
        <v>0</v>
      </c>
      <c r="F47" s="57">
        <f t="shared" si="34"/>
        <v>0</v>
      </c>
      <c r="G47" s="57">
        <f t="shared" si="34"/>
        <v>0</v>
      </c>
      <c r="H47" s="57">
        <f t="shared" si="34"/>
        <v>0</v>
      </c>
      <c r="I47" s="57">
        <f t="shared" si="34"/>
        <v>0</v>
      </c>
      <c r="J47" s="57">
        <f t="shared" si="34"/>
        <v>0</v>
      </c>
      <c r="K47" s="57">
        <f t="shared" si="34"/>
        <v>0</v>
      </c>
      <c r="L47" s="57">
        <f t="shared" si="34"/>
        <v>0</v>
      </c>
      <c r="M47" s="57">
        <f t="shared" si="34"/>
        <v>0</v>
      </c>
      <c r="N47" s="57">
        <f t="shared" si="34"/>
        <v>0</v>
      </c>
      <c r="O47" s="57">
        <f t="shared" si="34"/>
        <v>0</v>
      </c>
      <c r="P47" s="57">
        <f t="shared" si="34"/>
        <v>0</v>
      </c>
      <c r="Q47" s="57">
        <f t="shared" si="34"/>
        <v>0</v>
      </c>
      <c r="R47" s="57">
        <f t="shared" si="34"/>
        <v>0</v>
      </c>
      <c r="S47" s="57">
        <f t="shared" si="34"/>
        <v>0</v>
      </c>
      <c r="T47" s="57">
        <f t="shared" si="34"/>
        <v>0</v>
      </c>
      <c r="U47" s="57">
        <f t="shared" si="34"/>
        <v>0</v>
      </c>
      <c r="V47" s="57">
        <f t="shared" si="34"/>
        <v>0</v>
      </c>
      <c r="W47" s="57">
        <f t="shared" si="34"/>
        <v>0</v>
      </c>
      <c r="X47" s="57">
        <f t="shared" si="34"/>
        <v>0</v>
      </c>
      <c r="Y47" s="57">
        <f t="shared" si="34"/>
        <v>0</v>
      </c>
      <c r="Z47" s="57">
        <f t="shared" si="34"/>
        <v>0</v>
      </c>
      <c r="AA47" s="57">
        <f t="shared" si="34"/>
        <v>0</v>
      </c>
      <c r="AB47" s="57">
        <f t="shared" si="34"/>
        <v>0</v>
      </c>
      <c r="AC47" s="57">
        <f t="shared" si="24"/>
        <v>0</v>
      </c>
      <c r="AD47" s="57">
        <f t="shared" si="22"/>
        <v>0</v>
      </c>
      <c r="AE47" s="1"/>
      <c r="AF47" s="1"/>
      <c r="AG47" s="1"/>
      <c r="AH47" s="1"/>
      <c r="AI47" s="1"/>
      <c r="AJ47" s="1"/>
      <c r="AK47" s="1"/>
      <c r="AL47" s="1"/>
      <c r="AM47" s="1"/>
      <c r="AN47" s="1"/>
      <c r="AO47" s="1"/>
      <c r="AP47" s="1"/>
      <c r="AQ47" s="1"/>
      <c r="AR47" s="1"/>
      <c r="AS47" s="1"/>
      <c r="AT47" s="1"/>
      <c r="AU47" s="1"/>
      <c r="AV47" s="1"/>
      <c r="AW47" s="1"/>
      <c r="AX47" s="1"/>
      <c r="AY47" s="1"/>
    </row>
    <row r="48" spans="1:51" x14ac:dyDescent="0.25">
      <c r="A48" s="56"/>
      <c r="B48" s="57">
        <f>IF($B$18=0,0,$B$18*B6+$C$18*B7+$D$18*B8+$E$18*B9+$F$18*B10+$G$18*B11+$H$18*B12+$I$18*B13+$J$18*B14+$K$18*B15+$L$18*B16+$M$18*B17+$N$18*B18+$O$18*B19+$P$18*B20+$Q$18*B21+$R$18*B22+$S$18*B23+$T$18*B24+$U$18*B25+$V$18*B26+$W$18*B27+$X$18*B28+$Y$18*B29+$Z$18*B30+$AA$18*B31+$AB$18*B32)</f>
        <v>0</v>
      </c>
      <c r="C48" s="57">
        <f t="shared" ref="C48:AB48" si="35">IF($B$18=0,0,$B$18*C6+$C$18*C7+$D$18*C8+$E$18*C9+$F$18*C10+$G$18*C11+$H$18*C12+$I$18*C13+$J$18*C14+$K$18*C15+$L$18*C16+$M$18*C17+$N$18*C18+$O$18*C19+$P$18*C20+$Q$18*C21+$R$18*C22+$S$18*C23+$T$18*C24+$U$18*C25+$V$18*C26+$W$18*C27+$X$18*C28+$Y$18*C29+$Z$18*C30+$AA$18*C31+$AB$18*C32)</f>
        <v>0</v>
      </c>
      <c r="D48" s="57">
        <f t="shared" si="35"/>
        <v>0</v>
      </c>
      <c r="E48" s="57">
        <f t="shared" si="35"/>
        <v>0</v>
      </c>
      <c r="F48" s="57">
        <f t="shared" si="35"/>
        <v>0</v>
      </c>
      <c r="G48" s="57">
        <f t="shared" si="35"/>
        <v>0</v>
      </c>
      <c r="H48" s="57">
        <f t="shared" si="35"/>
        <v>0</v>
      </c>
      <c r="I48" s="57">
        <f t="shared" si="35"/>
        <v>0</v>
      </c>
      <c r="J48" s="57">
        <f t="shared" si="35"/>
        <v>0</v>
      </c>
      <c r="K48" s="57">
        <f t="shared" si="35"/>
        <v>0</v>
      </c>
      <c r="L48" s="57">
        <f t="shared" si="35"/>
        <v>0</v>
      </c>
      <c r="M48" s="57">
        <f t="shared" si="35"/>
        <v>0</v>
      </c>
      <c r="N48" s="57">
        <f t="shared" si="35"/>
        <v>0</v>
      </c>
      <c r="O48" s="57">
        <f t="shared" si="35"/>
        <v>0</v>
      </c>
      <c r="P48" s="57">
        <f t="shared" si="35"/>
        <v>0</v>
      </c>
      <c r="Q48" s="57">
        <f t="shared" si="35"/>
        <v>0</v>
      </c>
      <c r="R48" s="57">
        <f t="shared" si="35"/>
        <v>0</v>
      </c>
      <c r="S48" s="57">
        <f t="shared" si="35"/>
        <v>0</v>
      </c>
      <c r="T48" s="57">
        <f t="shared" si="35"/>
        <v>0</v>
      </c>
      <c r="U48" s="57">
        <f t="shared" si="35"/>
        <v>0</v>
      </c>
      <c r="V48" s="57">
        <f t="shared" si="35"/>
        <v>0</v>
      </c>
      <c r="W48" s="57">
        <f t="shared" si="35"/>
        <v>0</v>
      </c>
      <c r="X48" s="57">
        <f t="shared" si="35"/>
        <v>0</v>
      </c>
      <c r="Y48" s="57">
        <f t="shared" si="35"/>
        <v>0</v>
      </c>
      <c r="Z48" s="57">
        <f t="shared" si="35"/>
        <v>0</v>
      </c>
      <c r="AA48" s="57">
        <f t="shared" si="35"/>
        <v>0</v>
      </c>
      <c r="AB48" s="57">
        <f t="shared" si="35"/>
        <v>0</v>
      </c>
      <c r="AC48" s="57">
        <f t="shared" si="24"/>
        <v>0</v>
      </c>
      <c r="AD48" s="57">
        <f t="shared" si="22"/>
        <v>0</v>
      </c>
      <c r="AE48" s="1"/>
      <c r="AF48" s="1"/>
      <c r="AG48" s="1"/>
      <c r="AH48" s="1"/>
      <c r="AI48" s="1"/>
      <c r="AJ48" s="1"/>
      <c r="AK48" s="1"/>
      <c r="AL48" s="1"/>
      <c r="AM48" s="1"/>
      <c r="AN48" s="1"/>
      <c r="AO48" s="1"/>
      <c r="AP48" s="1"/>
      <c r="AQ48" s="1"/>
      <c r="AR48" s="1"/>
      <c r="AS48" s="1"/>
      <c r="AT48" s="1"/>
      <c r="AU48" s="1"/>
      <c r="AV48" s="1"/>
      <c r="AW48" s="1"/>
      <c r="AX48" s="1"/>
      <c r="AY48" s="1"/>
    </row>
    <row r="49" spans="1:51" x14ac:dyDescent="0.25">
      <c r="A49" s="56"/>
      <c r="B49" s="57">
        <f>IF($B$19=0,0,$B$19*B6+$C$19*B7+$D$19*B8+$E$19*B9+$F$19*B10+$G$19*B11+$H$19*B12+$I$19*B13+$J$19*B14+$K$19*B15+$L$19*B16+$M$19*B17+$N$19*B18+$O$19*B19+$P$19*B20+$Q$19*B21+$R$19*B22+$S$19*B23+$T$19*B24+$U$19*B25+$V$19*B26+$W$19*B27+$X$19*B28+$Y$19*B29+$Z$19*B30+$AA$19*B31+$AB$19*B32)</f>
        <v>0</v>
      </c>
      <c r="C49" s="57">
        <f t="shared" ref="C49:AB49" si="36">IF($B$19=0,0,$B$19*C6+$C$19*C7+$D$19*C8+$E$19*C9+$F$19*C10+$G$19*C11+$H$19*C12+$I$19*C13+$J$19*C14+$K$19*C15+$L$19*C16+$M$19*C17+$N$19*C18+$O$19*C19+$P$19*C20+$Q$19*C21+$R$19*C22+$S$19*C23+$T$19*C24+$U$19*C25+$V$19*C26+$W$19*C27+$X$19*C28+$Y$19*C29+$Z$19*C30+$AA$19*C31+$AB$19*C32)</f>
        <v>0</v>
      </c>
      <c r="D49" s="57">
        <f t="shared" si="36"/>
        <v>0</v>
      </c>
      <c r="E49" s="57">
        <f t="shared" si="36"/>
        <v>0</v>
      </c>
      <c r="F49" s="57">
        <f t="shared" si="36"/>
        <v>0</v>
      </c>
      <c r="G49" s="57">
        <f t="shared" si="36"/>
        <v>0</v>
      </c>
      <c r="H49" s="57">
        <f t="shared" si="36"/>
        <v>0</v>
      </c>
      <c r="I49" s="57">
        <f t="shared" si="36"/>
        <v>0</v>
      </c>
      <c r="J49" s="57">
        <f t="shared" si="36"/>
        <v>0</v>
      </c>
      <c r="K49" s="57">
        <f t="shared" si="36"/>
        <v>0</v>
      </c>
      <c r="L49" s="57">
        <f t="shared" si="36"/>
        <v>0</v>
      </c>
      <c r="M49" s="57">
        <f t="shared" si="36"/>
        <v>0</v>
      </c>
      <c r="N49" s="57">
        <f t="shared" si="36"/>
        <v>0</v>
      </c>
      <c r="O49" s="57">
        <f t="shared" si="36"/>
        <v>0</v>
      </c>
      <c r="P49" s="57">
        <f t="shared" si="36"/>
        <v>0</v>
      </c>
      <c r="Q49" s="57">
        <f t="shared" si="36"/>
        <v>0</v>
      </c>
      <c r="R49" s="57">
        <f t="shared" si="36"/>
        <v>0</v>
      </c>
      <c r="S49" s="57">
        <f t="shared" si="36"/>
        <v>0</v>
      </c>
      <c r="T49" s="57">
        <f t="shared" si="36"/>
        <v>0</v>
      </c>
      <c r="U49" s="57">
        <f t="shared" si="36"/>
        <v>0</v>
      </c>
      <c r="V49" s="57">
        <f t="shared" si="36"/>
        <v>0</v>
      </c>
      <c r="W49" s="57">
        <f t="shared" si="36"/>
        <v>0</v>
      </c>
      <c r="X49" s="57">
        <f t="shared" si="36"/>
        <v>0</v>
      </c>
      <c r="Y49" s="57">
        <f t="shared" si="36"/>
        <v>0</v>
      </c>
      <c r="Z49" s="57">
        <f t="shared" si="36"/>
        <v>0</v>
      </c>
      <c r="AA49" s="57">
        <f t="shared" si="36"/>
        <v>0</v>
      </c>
      <c r="AB49" s="57">
        <f t="shared" si="36"/>
        <v>0</v>
      </c>
      <c r="AC49" s="57">
        <f t="shared" si="24"/>
        <v>0</v>
      </c>
      <c r="AD49" s="57">
        <f t="shared" si="22"/>
        <v>0</v>
      </c>
      <c r="AE49" s="1"/>
      <c r="AF49" s="1"/>
      <c r="AG49" s="1"/>
      <c r="AH49" s="1"/>
      <c r="AI49" s="1"/>
      <c r="AJ49" s="1"/>
      <c r="AK49" s="1"/>
      <c r="AL49" s="1"/>
      <c r="AM49" s="1"/>
      <c r="AN49" s="1"/>
      <c r="AO49" s="1"/>
      <c r="AP49" s="1"/>
      <c r="AQ49" s="1"/>
      <c r="AR49" s="1"/>
      <c r="AS49" s="1"/>
      <c r="AT49" s="1"/>
      <c r="AU49" s="1"/>
      <c r="AV49" s="1"/>
      <c r="AW49" s="1"/>
      <c r="AX49" s="1"/>
      <c r="AY49" s="1"/>
    </row>
    <row r="50" spans="1:51" x14ac:dyDescent="0.25">
      <c r="A50" s="56"/>
      <c r="B50" s="57">
        <f>IF($B$20=0,0,$B$20*B6+$C$20*B7+$D$20*B8+$E$20*B9+$F$20*B10+$G$20*B11+$H$20*B12+$I$20*B13+$J$20*B14+$K$20*B15+$L$20*B16+$M$20*B17+$N$20*B18+$O$20*B19+$P$20*B20+$Q$20*B21+$R$20*B22+$S$20*B23+$T$20*B24+$U$20*B25+$V$20*B26+$W$20*B27+$X$20*B28+$Y$20*B29+$Z$20*B30+$AA$20*B31+$AB$20*B32)</f>
        <v>0</v>
      </c>
      <c r="C50" s="57">
        <f t="shared" ref="C50:AB50" si="37">IF($B$20=0,0,$B$20*C6+$C$20*C7+$D$20*C8+$E$20*C9+$F$20*C10+$G$20*C11+$H$20*C12+$I$20*C13+$J$20*C14+$K$20*C15+$L$20*C16+$M$20*C17+$N$20*C18+$O$20*C19+$P$20*C20+$Q$20*C21+$R$20*C22+$S$20*C23+$T$20*C24+$U$20*C25+$V$20*C26+$W$20*C27+$X$20*C28+$Y$20*C29+$Z$20*C30+$AA$20*C31+$AB$20*C32)</f>
        <v>0</v>
      </c>
      <c r="D50" s="57">
        <f t="shared" si="37"/>
        <v>0</v>
      </c>
      <c r="E50" s="57">
        <f t="shared" si="37"/>
        <v>0</v>
      </c>
      <c r="F50" s="57">
        <f t="shared" si="37"/>
        <v>0</v>
      </c>
      <c r="G50" s="57">
        <f t="shared" si="37"/>
        <v>0</v>
      </c>
      <c r="H50" s="57">
        <f t="shared" si="37"/>
        <v>0</v>
      </c>
      <c r="I50" s="57">
        <f t="shared" si="37"/>
        <v>0</v>
      </c>
      <c r="J50" s="57">
        <f t="shared" si="37"/>
        <v>0</v>
      </c>
      <c r="K50" s="57">
        <f t="shared" si="37"/>
        <v>0</v>
      </c>
      <c r="L50" s="57">
        <f t="shared" si="37"/>
        <v>0</v>
      </c>
      <c r="M50" s="57">
        <f t="shared" si="37"/>
        <v>0</v>
      </c>
      <c r="N50" s="57">
        <f t="shared" si="37"/>
        <v>0</v>
      </c>
      <c r="O50" s="57">
        <f t="shared" si="37"/>
        <v>0</v>
      </c>
      <c r="P50" s="57">
        <f t="shared" si="37"/>
        <v>0</v>
      </c>
      <c r="Q50" s="57">
        <f t="shared" si="37"/>
        <v>0</v>
      </c>
      <c r="R50" s="57">
        <f t="shared" si="37"/>
        <v>0</v>
      </c>
      <c r="S50" s="57">
        <f t="shared" si="37"/>
        <v>0</v>
      </c>
      <c r="T50" s="57">
        <f t="shared" si="37"/>
        <v>0</v>
      </c>
      <c r="U50" s="57">
        <f t="shared" si="37"/>
        <v>0</v>
      </c>
      <c r="V50" s="57">
        <f t="shared" si="37"/>
        <v>0</v>
      </c>
      <c r="W50" s="57">
        <f t="shared" si="37"/>
        <v>0</v>
      </c>
      <c r="X50" s="57">
        <f t="shared" si="37"/>
        <v>0</v>
      </c>
      <c r="Y50" s="57">
        <f t="shared" si="37"/>
        <v>0</v>
      </c>
      <c r="Z50" s="57">
        <f t="shared" si="37"/>
        <v>0</v>
      </c>
      <c r="AA50" s="57">
        <f t="shared" si="37"/>
        <v>0</v>
      </c>
      <c r="AB50" s="57">
        <f t="shared" si="37"/>
        <v>0</v>
      </c>
      <c r="AC50" s="57">
        <f t="shared" si="24"/>
        <v>0</v>
      </c>
      <c r="AD50" s="57">
        <f t="shared" si="22"/>
        <v>0</v>
      </c>
      <c r="AE50" s="1"/>
      <c r="AF50" s="1"/>
      <c r="AG50" s="1"/>
      <c r="AH50" s="1"/>
      <c r="AI50" s="1"/>
      <c r="AJ50" s="1"/>
      <c r="AK50" s="1"/>
      <c r="AL50" s="1"/>
      <c r="AM50" s="1"/>
      <c r="AN50" s="1"/>
      <c r="AO50" s="1"/>
      <c r="AP50" s="1"/>
      <c r="AQ50" s="1"/>
      <c r="AR50" s="1"/>
      <c r="AS50" s="1"/>
      <c r="AT50" s="1"/>
      <c r="AU50" s="1"/>
      <c r="AV50" s="1"/>
      <c r="AW50" s="1"/>
      <c r="AX50" s="1"/>
      <c r="AY50" s="1"/>
    </row>
    <row r="51" spans="1:51" x14ac:dyDescent="0.25">
      <c r="A51" s="56"/>
      <c r="B51" s="57">
        <f>IF($B$21=0,0,$B$21*B6+$C$21*B7+$D$21*B8+$E$21*B9+$F$21*B10+$G$21*B11+$H$21*B12+$I$21*B13+$J$21*B14+$K$21*B15+$L$21*B16+$M$21*B17+$N$21*B18+$O$21*B19+$P$21*B20+$Q$21*B21+$R$21*B22+$S$21*B23+$T$21*B24+$U$21*B25+$V$21*B26+$W$21*B27+$X$21*B28+$Y$21*B29+$Z$21*B30+$AA$21*B31+$AB$21*B32)</f>
        <v>0</v>
      </c>
      <c r="C51" s="57">
        <f t="shared" ref="C51:AB51" si="38">IF($B$21=0,0,$B$21*C6+$C$21*C7+$D$21*C8+$E$21*C9+$F$21*C10+$G$21*C11+$H$21*C12+$I$21*C13+$J$21*C14+$K$21*C15+$L$21*C16+$M$21*C17+$N$21*C18+$O$21*C19+$P$21*C20+$Q$21*C21+$R$21*C22+$S$21*C23+$T$21*C24+$U$21*C25+$V$21*C26+$W$21*C27+$X$21*C28+$Y$21*C29+$Z$21*C30+$AA$21*C31+$AB$21*C32)</f>
        <v>0</v>
      </c>
      <c r="D51" s="57">
        <f t="shared" si="38"/>
        <v>0</v>
      </c>
      <c r="E51" s="57">
        <f t="shared" si="38"/>
        <v>0</v>
      </c>
      <c r="F51" s="57">
        <f t="shared" si="38"/>
        <v>0</v>
      </c>
      <c r="G51" s="57">
        <f t="shared" si="38"/>
        <v>0</v>
      </c>
      <c r="H51" s="57">
        <f t="shared" si="38"/>
        <v>0</v>
      </c>
      <c r="I51" s="57">
        <f t="shared" si="38"/>
        <v>0</v>
      </c>
      <c r="J51" s="57">
        <f t="shared" si="38"/>
        <v>0</v>
      </c>
      <c r="K51" s="57">
        <f t="shared" si="38"/>
        <v>0</v>
      </c>
      <c r="L51" s="57">
        <f t="shared" si="38"/>
        <v>0</v>
      </c>
      <c r="M51" s="57">
        <f t="shared" si="38"/>
        <v>0</v>
      </c>
      <c r="N51" s="57">
        <f t="shared" si="38"/>
        <v>0</v>
      </c>
      <c r="O51" s="57">
        <f t="shared" si="38"/>
        <v>0</v>
      </c>
      <c r="P51" s="57">
        <f t="shared" si="38"/>
        <v>0</v>
      </c>
      <c r="Q51" s="57">
        <f t="shared" si="38"/>
        <v>0</v>
      </c>
      <c r="R51" s="57">
        <f t="shared" si="38"/>
        <v>0</v>
      </c>
      <c r="S51" s="57">
        <f t="shared" si="38"/>
        <v>0</v>
      </c>
      <c r="T51" s="57">
        <f t="shared" si="38"/>
        <v>0</v>
      </c>
      <c r="U51" s="57">
        <f t="shared" si="38"/>
        <v>0</v>
      </c>
      <c r="V51" s="57">
        <f t="shared" si="38"/>
        <v>0</v>
      </c>
      <c r="W51" s="57">
        <f t="shared" si="38"/>
        <v>0</v>
      </c>
      <c r="X51" s="57">
        <f t="shared" si="38"/>
        <v>0</v>
      </c>
      <c r="Y51" s="57">
        <f t="shared" si="38"/>
        <v>0</v>
      </c>
      <c r="Z51" s="57">
        <f t="shared" si="38"/>
        <v>0</v>
      </c>
      <c r="AA51" s="57">
        <f t="shared" si="38"/>
        <v>0</v>
      </c>
      <c r="AB51" s="57">
        <f t="shared" si="38"/>
        <v>0</v>
      </c>
      <c r="AC51" s="57">
        <f t="shared" si="24"/>
        <v>0</v>
      </c>
      <c r="AD51" s="57">
        <f t="shared" si="22"/>
        <v>0</v>
      </c>
      <c r="AE51" s="1"/>
      <c r="AF51" s="1"/>
      <c r="AG51" s="1"/>
      <c r="AH51" s="1"/>
      <c r="AI51" s="1"/>
      <c r="AJ51" s="1"/>
      <c r="AK51" s="1"/>
      <c r="AL51" s="1"/>
      <c r="AM51" s="1"/>
      <c r="AN51" s="1"/>
      <c r="AO51" s="1"/>
      <c r="AP51" s="1"/>
      <c r="AQ51" s="1"/>
      <c r="AR51" s="1"/>
      <c r="AS51" s="1"/>
      <c r="AT51" s="1"/>
      <c r="AU51" s="1"/>
      <c r="AV51" s="1"/>
      <c r="AW51" s="1"/>
      <c r="AX51" s="1"/>
      <c r="AY51" s="1"/>
    </row>
    <row r="52" spans="1:51" x14ac:dyDescent="0.25">
      <c r="A52" s="56"/>
      <c r="B52" s="57">
        <f>IF($B$22=0,0,$B$22*B6+$C$22*B7+$D$22*B8+$E$22*B9+$F$22*B10+$G$22*B11+$H$22*B12+$I$22*B13+$J$22*B14+$K$22*B15+$L$22*B16+$M$22*B17+$N$22*B18+$O$22*B19+$P$22*B20+$Q$22*B21+$R$22*B22+$S$22*B23+$T$22*B24+$U$22*B25+$V$22*B26+$W$22*B27+$X$22*B28+$Y$22*B29+$Z$22*B30+$AA$22*B31+$AB$22*B32)</f>
        <v>0</v>
      </c>
      <c r="C52" s="57">
        <f t="shared" ref="C52:AB52" si="39">IF($B$22=0,0,$B$22*C6+$C$22*C7+$D$22*C8+$E$22*C9+$F$22*C10+$G$22*C11+$H$22*C12+$I$22*C13+$J$22*C14+$K$22*C15+$L$22*C16+$M$22*C17+$N$22*C18+$O$22*C19+$P$22*C20+$Q$22*C21+$R$22*C22+$S$22*C23+$T$22*C24+$U$22*C25+$V$22*C26+$W$22*C27+$X$22*C28+$Y$22*C29+$Z$22*C30+$AA$22*C31+$AB$22*C32)</f>
        <v>0</v>
      </c>
      <c r="D52" s="57">
        <f t="shared" si="39"/>
        <v>0</v>
      </c>
      <c r="E52" s="57">
        <f t="shared" si="39"/>
        <v>0</v>
      </c>
      <c r="F52" s="57">
        <f t="shared" si="39"/>
        <v>0</v>
      </c>
      <c r="G52" s="57">
        <f t="shared" si="39"/>
        <v>0</v>
      </c>
      <c r="H52" s="57">
        <f t="shared" si="39"/>
        <v>0</v>
      </c>
      <c r="I52" s="57">
        <f t="shared" si="39"/>
        <v>0</v>
      </c>
      <c r="J52" s="57">
        <f t="shared" si="39"/>
        <v>0</v>
      </c>
      <c r="K52" s="57">
        <f t="shared" si="39"/>
        <v>0</v>
      </c>
      <c r="L52" s="57">
        <f t="shared" si="39"/>
        <v>0</v>
      </c>
      <c r="M52" s="57">
        <f t="shared" si="39"/>
        <v>0</v>
      </c>
      <c r="N52" s="57">
        <f t="shared" si="39"/>
        <v>0</v>
      </c>
      <c r="O52" s="57">
        <f t="shared" si="39"/>
        <v>0</v>
      </c>
      <c r="P52" s="57">
        <f t="shared" si="39"/>
        <v>0</v>
      </c>
      <c r="Q52" s="57">
        <f t="shared" si="39"/>
        <v>0</v>
      </c>
      <c r="R52" s="57">
        <f t="shared" si="39"/>
        <v>0</v>
      </c>
      <c r="S52" s="57">
        <f t="shared" si="39"/>
        <v>0</v>
      </c>
      <c r="T52" s="57">
        <f t="shared" si="39"/>
        <v>0</v>
      </c>
      <c r="U52" s="57">
        <f t="shared" si="39"/>
        <v>0</v>
      </c>
      <c r="V52" s="57">
        <f t="shared" si="39"/>
        <v>0</v>
      </c>
      <c r="W52" s="57">
        <f t="shared" si="39"/>
        <v>0</v>
      </c>
      <c r="X52" s="57">
        <f t="shared" si="39"/>
        <v>0</v>
      </c>
      <c r="Y52" s="57">
        <f t="shared" si="39"/>
        <v>0</v>
      </c>
      <c r="Z52" s="57">
        <f t="shared" si="39"/>
        <v>0</v>
      </c>
      <c r="AA52" s="57">
        <f t="shared" si="39"/>
        <v>0</v>
      </c>
      <c r="AB52" s="57">
        <f t="shared" si="39"/>
        <v>0</v>
      </c>
      <c r="AC52" s="57">
        <f t="shared" si="24"/>
        <v>0</v>
      </c>
      <c r="AD52" s="57">
        <f t="shared" si="22"/>
        <v>0</v>
      </c>
      <c r="AE52" s="1"/>
      <c r="AF52" s="1"/>
      <c r="AG52" s="1"/>
      <c r="AH52" s="1"/>
      <c r="AI52" s="1"/>
      <c r="AJ52" s="1"/>
      <c r="AK52" s="1"/>
      <c r="AL52" s="1"/>
      <c r="AM52" s="1"/>
      <c r="AN52" s="1"/>
      <c r="AO52" s="1"/>
      <c r="AP52" s="1"/>
      <c r="AQ52" s="1"/>
      <c r="AR52" s="1"/>
      <c r="AS52" s="1"/>
      <c r="AT52" s="1"/>
      <c r="AU52" s="1"/>
      <c r="AV52" s="1"/>
      <c r="AW52" s="1"/>
      <c r="AX52" s="1"/>
      <c r="AY52" s="1"/>
    </row>
    <row r="53" spans="1:51" x14ac:dyDescent="0.25">
      <c r="A53" s="56"/>
      <c r="B53" s="57">
        <f>IF($B$23=0,0,$B$23*B6+$C$23*B7+$D$23*B8+$E$23*B9+$F$23*B10+$G$23*B11+$H$23*B12+$I$23*B13+$J$23*B14+$K$23*B15+$L$23*B16+$M$23*B17+$N$23*B18+$O$23*B19+$P$23*B20+$Q$23*B21+$R$23*B22+$S$23*B23+$T$23*B24+$U$23*B25+$V$23*B26+$W$23*B27+$X$23*B28+$Y$23*B29+$Z$23*B30+$AA$23*B31+$AB$23*B32)</f>
        <v>0</v>
      </c>
      <c r="C53" s="57">
        <f t="shared" ref="C53:AB53" si="40">IF($B$23=0,0,$B$23*C6+$C$23*C7+$D$23*C8+$E$23*C9+$F$23*C10+$G$23*C11+$H$23*C12+$I$23*C13+$J$23*C14+$K$23*C15+$L$23*C16+$M$23*C17+$N$23*C18+$O$23*C19+$P$23*C20+$Q$23*C21+$R$23*C22+$S$23*C23+$T$23*C24+$U$23*C25+$V$23*C26+$W$23*C27+$X$23*C28+$Y$23*C29+$Z$23*C30+$AA$23*C31+$AB$23*C32)</f>
        <v>0</v>
      </c>
      <c r="D53" s="57">
        <f t="shared" si="40"/>
        <v>0</v>
      </c>
      <c r="E53" s="57">
        <f t="shared" si="40"/>
        <v>0</v>
      </c>
      <c r="F53" s="57">
        <f t="shared" si="40"/>
        <v>0</v>
      </c>
      <c r="G53" s="57">
        <f t="shared" si="40"/>
        <v>0</v>
      </c>
      <c r="H53" s="57">
        <f t="shared" si="40"/>
        <v>0</v>
      </c>
      <c r="I53" s="57">
        <f t="shared" si="40"/>
        <v>0</v>
      </c>
      <c r="J53" s="57">
        <f t="shared" si="40"/>
        <v>0</v>
      </c>
      <c r="K53" s="57">
        <f t="shared" si="40"/>
        <v>0</v>
      </c>
      <c r="L53" s="57">
        <f t="shared" si="40"/>
        <v>0</v>
      </c>
      <c r="M53" s="57">
        <f t="shared" si="40"/>
        <v>0</v>
      </c>
      <c r="N53" s="57">
        <f t="shared" si="40"/>
        <v>0</v>
      </c>
      <c r="O53" s="57">
        <f t="shared" si="40"/>
        <v>0</v>
      </c>
      <c r="P53" s="57">
        <f t="shared" si="40"/>
        <v>0</v>
      </c>
      <c r="Q53" s="57">
        <f t="shared" si="40"/>
        <v>0</v>
      </c>
      <c r="R53" s="57">
        <f t="shared" si="40"/>
        <v>0</v>
      </c>
      <c r="S53" s="57">
        <f t="shared" si="40"/>
        <v>0</v>
      </c>
      <c r="T53" s="57">
        <f t="shared" si="40"/>
        <v>0</v>
      </c>
      <c r="U53" s="57">
        <f t="shared" si="40"/>
        <v>0</v>
      </c>
      <c r="V53" s="57">
        <f t="shared" si="40"/>
        <v>0</v>
      </c>
      <c r="W53" s="57">
        <f t="shared" si="40"/>
        <v>0</v>
      </c>
      <c r="X53" s="57">
        <f t="shared" si="40"/>
        <v>0</v>
      </c>
      <c r="Y53" s="57">
        <f t="shared" si="40"/>
        <v>0</v>
      </c>
      <c r="Z53" s="57">
        <f t="shared" si="40"/>
        <v>0</v>
      </c>
      <c r="AA53" s="57">
        <f t="shared" si="40"/>
        <v>0</v>
      </c>
      <c r="AB53" s="57">
        <f t="shared" si="40"/>
        <v>0</v>
      </c>
      <c r="AC53" s="57">
        <f t="shared" si="24"/>
        <v>0</v>
      </c>
      <c r="AD53" s="57">
        <f t="shared" si="22"/>
        <v>0</v>
      </c>
      <c r="AE53" s="1"/>
      <c r="AF53" s="1"/>
      <c r="AG53" s="1"/>
      <c r="AH53" s="1"/>
      <c r="AI53" s="1"/>
      <c r="AJ53" s="1"/>
      <c r="AK53" s="1"/>
      <c r="AL53" s="1"/>
      <c r="AM53" s="1"/>
      <c r="AN53" s="1"/>
      <c r="AO53" s="1"/>
      <c r="AP53" s="1"/>
      <c r="AQ53" s="1"/>
      <c r="AR53" s="1"/>
      <c r="AS53" s="1"/>
      <c r="AT53" s="1"/>
      <c r="AU53" s="1"/>
      <c r="AV53" s="1"/>
      <c r="AW53" s="1"/>
      <c r="AX53" s="1"/>
      <c r="AY53" s="1"/>
    </row>
    <row r="54" spans="1:51" x14ac:dyDescent="0.25">
      <c r="A54" s="56"/>
      <c r="B54" s="57">
        <f>IF($B$24=0,0,$B$24*B6+$C$24*B7+$D$24*B8+$E$24*B9+$F$24*B10+$G$24*B11+$H$24*B12+$I$24*B13+$J$24*B14+$K$24*B15+$L$24*B16+$M$24*B17+$N$24*B18+$O$24*B19+$P$24*B20+$Q$24*B21+$R$24*B22+$S$24*B23+$T$24*B24+$U$24*B25+$V$24*B26+$W$24*B27+$X$24*B28+$Y$24*B29+$Z$24*B30+$AA$24*B31+$AB$24*B32)</f>
        <v>0</v>
      </c>
      <c r="C54" s="57">
        <f t="shared" ref="C54:AB54" si="41">IF($B$24=0,0,$B$24*C6+$C$24*C7+$D$24*C8+$E$24*C9+$F$24*C10+$G$24*C11+$H$24*C12+$I$24*C13+$J$24*C14+$K$24*C15+$L$24*C16+$M$24*C17+$N$24*C18+$O$24*C19+$P$24*C20+$Q$24*C21+$R$24*C22+$S$24*C23+$T$24*C24+$U$24*C25+$V$24*C26+$W$24*C27+$X$24*C28+$Y$24*C29+$Z$24*C30+$AA$24*C31+$AB$24*C32)</f>
        <v>0</v>
      </c>
      <c r="D54" s="57">
        <f t="shared" si="41"/>
        <v>0</v>
      </c>
      <c r="E54" s="57">
        <f t="shared" si="41"/>
        <v>0</v>
      </c>
      <c r="F54" s="57">
        <f t="shared" si="41"/>
        <v>0</v>
      </c>
      <c r="G54" s="57">
        <f t="shared" si="41"/>
        <v>0</v>
      </c>
      <c r="H54" s="57">
        <f t="shared" si="41"/>
        <v>0</v>
      </c>
      <c r="I54" s="57">
        <f t="shared" si="41"/>
        <v>0</v>
      </c>
      <c r="J54" s="57">
        <f t="shared" si="41"/>
        <v>0</v>
      </c>
      <c r="K54" s="57">
        <f t="shared" si="41"/>
        <v>0</v>
      </c>
      <c r="L54" s="57">
        <f t="shared" si="41"/>
        <v>0</v>
      </c>
      <c r="M54" s="57">
        <f t="shared" si="41"/>
        <v>0</v>
      </c>
      <c r="N54" s="57">
        <f t="shared" si="41"/>
        <v>0</v>
      </c>
      <c r="O54" s="57">
        <f t="shared" si="41"/>
        <v>0</v>
      </c>
      <c r="P54" s="57">
        <f t="shared" si="41"/>
        <v>0</v>
      </c>
      <c r="Q54" s="57">
        <f t="shared" si="41"/>
        <v>0</v>
      </c>
      <c r="R54" s="57">
        <f t="shared" si="41"/>
        <v>0</v>
      </c>
      <c r="S54" s="57">
        <f t="shared" si="41"/>
        <v>0</v>
      </c>
      <c r="T54" s="57">
        <f t="shared" si="41"/>
        <v>0</v>
      </c>
      <c r="U54" s="57">
        <f t="shared" si="41"/>
        <v>0</v>
      </c>
      <c r="V54" s="57">
        <f t="shared" si="41"/>
        <v>0</v>
      </c>
      <c r="W54" s="57">
        <f t="shared" si="41"/>
        <v>0</v>
      </c>
      <c r="X54" s="57">
        <f t="shared" si="41"/>
        <v>0</v>
      </c>
      <c r="Y54" s="57">
        <f t="shared" si="41"/>
        <v>0</v>
      </c>
      <c r="Z54" s="57">
        <f t="shared" si="41"/>
        <v>0</v>
      </c>
      <c r="AA54" s="57">
        <f t="shared" si="41"/>
        <v>0</v>
      </c>
      <c r="AB54" s="57">
        <f t="shared" si="41"/>
        <v>0</v>
      </c>
      <c r="AC54" s="57">
        <f t="shared" si="24"/>
        <v>0</v>
      </c>
      <c r="AD54" s="57">
        <f t="shared" si="22"/>
        <v>0</v>
      </c>
      <c r="AE54" s="1"/>
      <c r="AF54" s="1"/>
      <c r="AG54" s="1"/>
      <c r="AH54" s="1"/>
      <c r="AI54" s="1"/>
      <c r="AJ54" s="1"/>
      <c r="AK54" s="1"/>
      <c r="AL54" s="1"/>
      <c r="AM54" s="1"/>
      <c r="AN54" s="1"/>
      <c r="AO54" s="1"/>
      <c r="AP54" s="1"/>
      <c r="AQ54" s="1"/>
      <c r="AR54" s="1"/>
      <c r="AS54" s="1"/>
      <c r="AT54" s="1"/>
      <c r="AU54" s="1"/>
      <c r="AV54" s="1"/>
      <c r="AW54" s="1"/>
      <c r="AX54" s="1"/>
      <c r="AY54" s="1"/>
    </row>
    <row r="55" spans="1:51" x14ac:dyDescent="0.25">
      <c r="A55" s="56"/>
      <c r="B55" s="57">
        <f>IF($B$25=0,0,$B$25*B6+$C$25*B7+$D$25*B8+$E$25*B9+$F$25*B10+$G$25*B11+$H$25*B12+$I$25*B13+$J$25*B14+$K$25*B15+$L$25*B16+$M$25*B17+$N$25*B18+$O$25*B19+$P$25*B20+$Q$25*B21+$R$25*B22+$S$25*B23+$T$25*B24+$U$25*B25+$V$25*B26+$W$25*B27+$X$25*B28+$Y$25*B29+$Z$25*B30+$AA$25*B31+$AB$25*B32)</f>
        <v>0</v>
      </c>
      <c r="C55" s="57">
        <f t="shared" ref="C55:AB55" si="42">IF($B$25=0,0,$B$25*C6+$C$25*C7+$D$25*C8+$E$25*C9+$F$25*C10+$G$25*C11+$H$25*C12+$I$25*C13+$J$25*C14+$K$25*C15+$L$25*C16+$M$25*C17+$N$25*C18+$O$25*C19+$P$25*C20+$Q$25*C21+$R$25*C22+$S$25*C23+$T$25*C24+$U$25*C25+$V$25*C26+$W$25*C27+$X$25*C28+$Y$25*C29+$Z$25*C30+$AA$25*C31+$AB$25*C32)</f>
        <v>0</v>
      </c>
      <c r="D55" s="57">
        <f t="shared" si="42"/>
        <v>0</v>
      </c>
      <c r="E55" s="57">
        <f t="shared" si="42"/>
        <v>0</v>
      </c>
      <c r="F55" s="57">
        <f t="shared" si="42"/>
        <v>0</v>
      </c>
      <c r="G55" s="57">
        <f t="shared" si="42"/>
        <v>0</v>
      </c>
      <c r="H55" s="57">
        <f t="shared" si="42"/>
        <v>0</v>
      </c>
      <c r="I55" s="57">
        <f t="shared" si="42"/>
        <v>0</v>
      </c>
      <c r="J55" s="57">
        <f t="shared" si="42"/>
        <v>0</v>
      </c>
      <c r="K55" s="57">
        <f t="shared" si="42"/>
        <v>0</v>
      </c>
      <c r="L55" s="57">
        <f t="shared" si="42"/>
        <v>0</v>
      </c>
      <c r="M55" s="57">
        <f t="shared" si="42"/>
        <v>0</v>
      </c>
      <c r="N55" s="57">
        <f t="shared" si="42"/>
        <v>0</v>
      </c>
      <c r="O55" s="57">
        <f t="shared" si="42"/>
        <v>0</v>
      </c>
      <c r="P55" s="57">
        <f t="shared" si="42"/>
        <v>0</v>
      </c>
      <c r="Q55" s="57">
        <f t="shared" si="42"/>
        <v>0</v>
      </c>
      <c r="R55" s="57">
        <f t="shared" si="42"/>
        <v>0</v>
      </c>
      <c r="S55" s="57">
        <f t="shared" si="42"/>
        <v>0</v>
      </c>
      <c r="T55" s="57">
        <f t="shared" si="42"/>
        <v>0</v>
      </c>
      <c r="U55" s="57">
        <f t="shared" si="42"/>
        <v>0</v>
      </c>
      <c r="V55" s="57">
        <f t="shared" si="42"/>
        <v>0</v>
      </c>
      <c r="W55" s="57">
        <f t="shared" si="42"/>
        <v>0</v>
      </c>
      <c r="X55" s="57">
        <f t="shared" si="42"/>
        <v>0</v>
      </c>
      <c r="Y55" s="57">
        <f t="shared" si="42"/>
        <v>0</v>
      </c>
      <c r="Z55" s="57">
        <f t="shared" si="42"/>
        <v>0</v>
      </c>
      <c r="AA55" s="57">
        <f t="shared" si="42"/>
        <v>0</v>
      </c>
      <c r="AB55" s="57">
        <f t="shared" si="42"/>
        <v>0</v>
      </c>
      <c r="AC55" s="57">
        <f t="shared" si="24"/>
        <v>0</v>
      </c>
      <c r="AD55" s="57">
        <f t="shared" si="22"/>
        <v>0</v>
      </c>
      <c r="AE55" s="1"/>
      <c r="AF55" s="1"/>
      <c r="AG55" s="1"/>
      <c r="AH55" s="1"/>
      <c r="AI55" s="1"/>
      <c r="AJ55" s="1"/>
      <c r="AK55" s="1"/>
      <c r="AL55" s="1"/>
      <c r="AM55" s="1"/>
      <c r="AN55" s="1"/>
      <c r="AO55" s="1"/>
      <c r="AP55" s="1"/>
      <c r="AQ55" s="1"/>
      <c r="AR55" s="1"/>
      <c r="AS55" s="1"/>
      <c r="AT55" s="1"/>
      <c r="AU55" s="1"/>
      <c r="AV55" s="1"/>
      <c r="AW55" s="1"/>
      <c r="AX55" s="1"/>
      <c r="AY55" s="1"/>
    </row>
    <row r="56" spans="1:51" x14ac:dyDescent="0.25">
      <c r="A56" s="56"/>
      <c r="B56" s="57">
        <f>IF($B$26=0,0,$B$26*B6+$C$26*B7+$D$26*B8+$E$26*B9+$F$26*B10+$G$26*B11+$H$26*B12+$I$26*B13+$J$26*B14+$K$26*B15+$L$26*B16+$M$26*B17+$N$26*B18+$O$26*B19+$P$26*B20+$Q$26*B21+$R$26*B22+$S$26*B23+$T$26*B24+$U$26*B25+$V$26*B26+$W$26*B27+$X$26*B28+$Y$26*B29+$Z$26*B30+$AA$26*B31+$AB$26*B32)</f>
        <v>0</v>
      </c>
      <c r="C56" s="57">
        <f t="shared" ref="C56:AB56" si="43">IF($B$26=0,0,$B$26*C6+$C$26*C7+$D$26*C8+$E$26*C9+$F$26*C10+$G$26*C11+$H$26*C12+$I$26*C13+$J$26*C14+$K$26*C15+$L$26*C16+$M$26*C17+$N$26*C18+$O$26*C19+$P$26*C20+$Q$26*C21+$R$26*C22+$S$26*C23+$T$26*C24+$U$26*C25+$V$26*C26+$W$26*C27+$X$26*C28+$Y$26*C29+$Z$26*C30+$AA$26*C31+$AB$26*C32)</f>
        <v>0</v>
      </c>
      <c r="D56" s="57">
        <f t="shared" si="43"/>
        <v>0</v>
      </c>
      <c r="E56" s="57">
        <f t="shared" si="43"/>
        <v>0</v>
      </c>
      <c r="F56" s="57">
        <f t="shared" si="43"/>
        <v>0</v>
      </c>
      <c r="G56" s="57">
        <f t="shared" si="43"/>
        <v>0</v>
      </c>
      <c r="H56" s="57">
        <f t="shared" si="43"/>
        <v>0</v>
      </c>
      <c r="I56" s="57">
        <f t="shared" si="43"/>
        <v>0</v>
      </c>
      <c r="J56" s="57">
        <f t="shared" si="43"/>
        <v>0</v>
      </c>
      <c r="K56" s="57">
        <f t="shared" si="43"/>
        <v>0</v>
      </c>
      <c r="L56" s="57">
        <f t="shared" si="43"/>
        <v>0</v>
      </c>
      <c r="M56" s="57">
        <f t="shared" si="43"/>
        <v>0</v>
      </c>
      <c r="N56" s="57">
        <f t="shared" si="43"/>
        <v>0</v>
      </c>
      <c r="O56" s="57">
        <f t="shared" si="43"/>
        <v>0</v>
      </c>
      <c r="P56" s="57">
        <f t="shared" si="43"/>
        <v>0</v>
      </c>
      <c r="Q56" s="57">
        <f t="shared" si="43"/>
        <v>0</v>
      </c>
      <c r="R56" s="57">
        <f t="shared" si="43"/>
        <v>0</v>
      </c>
      <c r="S56" s="57">
        <f t="shared" si="43"/>
        <v>0</v>
      </c>
      <c r="T56" s="57">
        <f t="shared" si="43"/>
        <v>0</v>
      </c>
      <c r="U56" s="57">
        <f t="shared" si="43"/>
        <v>0</v>
      </c>
      <c r="V56" s="57">
        <f t="shared" si="43"/>
        <v>0</v>
      </c>
      <c r="W56" s="57">
        <f t="shared" si="43"/>
        <v>0</v>
      </c>
      <c r="X56" s="57">
        <f t="shared" si="43"/>
        <v>0</v>
      </c>
      <c r="Y56" s="57">
        <f t="shared" si="43"/>
        <v>0</v>
      </c>
      <c r="Z56" s="57">
        <f t="shared" si="43"/>
        <v>0</v>
      </c>
      <c r="AA56" s="57">
        <f t="shared" si="43"/>
        <v>0</v>
      </c>
      <c r="AB56" s="57">
        <f t="shared" si="43"/>
        <v>0</v>
      </c>
      <c r="AC56" s="57">
        <f t="shared" si="24"/>
        <v>0</v>
      </c>
      <c r="AD56" s="57">
        <f t="shared" si="22"/>
        <v>0</v>
      </c>
      <c r="AE56" s="1"/>
      <c r="AF56" s="1"/>
      <c r="AG56" s="1"/>
      <c r="AH56" s="1"/>
      <c r="AI56" s="1"/>
      <c r="AJ56" s="1"/>
      <c r="AK56" s="1"/>
      <c r="AL56" s="1"/>
      <c r="AM56" s="1"/>
      <c r="AN56" s="1"/>
      <c r="AO56" s="1"/>
      <c r="AP56" s="1"/>
      <c r="AQ56" s="1"/>
      <c r="AR56" s="1"/>
      <c r="AS56" s="1"/>
      <c r="AT56" s="1"/>
      <c r="AU56" s="1"/>
      <c r="AV56" s="1"/>
      <c r="AW56" s="1"/>
      <c r="AX56" s="1"/>
      <c r="AY56" s="1"/>
    </row>
    <row r="57" spans="1:51" x14ac:dyDescent="0.25">
      <c r="A57" s="56"/>
      <c r="B57" s="57">
        <f>IF($B$27=0,0,$B$27*B6+$C$27*B7+$D$27*B8+$E$27*B9+$F$27*B10+$G$27*B11+$H$27*B12+$I$27*B13+$J$27*B14+$K$27*B15+$L$27*B16+$M$27*B17+$N$27*B18+$O$27*B19+$P$27*B20+$Q$27*B21+$R$27*B22+$S$27*B23+$T$27*B24+$U$27*B25+$V$27*B26+$W$27*B27+$X$27*B28+$Y$27*B29+$Z$27*B30+$AA$27*B31+$AB$27*B32)</f>
        <v>0</v>
      </c>
      <c r="C57" s="57">
        <f t="shared" ref="C57:AB57" si="44">IF($B$27=0,0,$B$27*C6+$C$27*C7+$D$27*C8+$E$27*C9+$F$27*C10+$G$27*C11+$H$27*C12+$I$27*C13+$J$27*C14+$K$27*C15+$L$27*C16+$M$27*C17+$N$27*C18+$O$27*C19+$P$27*C20+$Q$27*C21+$R$27*C22+$S$27*C23+$T$27*C24+$U$27*C25+$V$27*C26+$W$27*C27+$X$27*C28+$Y$27*C29+$Z$27*C30+$AA$27*C31+$AB$27*C32)</f>
        <v>0</v>
      </c>
      <c r="D57" s="57">
        <f t="shared" si="44"/>
        <v>0</v>
      </c>
      <c r="E57" s="57">
        <f t="shared" si="44"/>
        <v>0</v>
      </c>
      <c r="F57" s="57">
        <f t="shared" si="44"/>
        <v>0</v>
      </c>
      <c r="G57" s="57">
        <f t="shared" si="44"/>
        <v>0</v>
      </c>
      <c r="H57" s="57">
        <f t="shared" si="44"/>
        <v>0</v>
      </c>
      <c r="I57" s="57">
        <f t="shared" si="44"/>
        <v>0</v>
      </c>
      <c r="J57" s="57">
        <f t="shared" si="44"/>
        <v>0</v>
      </c>
      <c r="K57" s="57">
        <f t="shared" si="44"/>
        <v>0</v>
      </c>
      <c r="L57" s="57">
        <f t="shared" si="44"/>
        <v>0</v>
      </c>
      <c r="M57" s="57">
        <f t="shared" si="44"/>
        <v>0</v>
      </c>
      <c r="N57" s="57">
        <f t="shared" si="44"/>
        <v>0</v>
      </c>
      <c r="O57" s="57">
        <f t="shared" si="44"/>
        <v>0</v>
      </c>
      <c r="P57" s="57">
        <f t="shared" si="44"/>
        <v>0</v>
      </c>
      <c r="Q57" s="57">
        <f t="shared" si="44"/>
        <v>0</v>
      </c>
      <c r="R57" s="57">
        <f t="shared" si="44"/>
        <v>0</v>
      </c>
      <c r="S57" s="57">
        <f t="shared" si="44"/>
        <v>0</v>
      </c>
      <c r="T57" s="57">
        <f t="shared" si="44"/>
        <v>0</v>
      </c>
      <c r="U57" s="57">
        <f t="shared" si="44"/>
        <v>0</v>
      </c>
      <c r="V57" s="57">
        <f t="shared" si="44"/>
        <v>0</v>
      </c>
      <c r="W57" s="57">
        <f t="shared" si="44"/>
        <v>0</v>
      </c>
      <c r="X57" s="57">
        <f t="shared" si="44"/>
        <v>0</v>
      </c>
      <c r="Y57" s="57">
        <f t="shared" si="44"/>
        <v>0</v>
      </c>
      <c r="Z57" s="57">
        <f t="shared" si="44"/>
        <v>0</v>
      </c>
      <c r="AA57" s="57">
        <f t="shared" si="44"/>
        <v>0</v>
      </c>
      <c r="AB57" s="57">
        <f t="shared" si="44"/>
        <v>0</v>
      </c>
      <c r="AC57" s="57">
        <f t="shared" si="24"/>
        <v>0</v>
      </c>
      <c r="AD57" s="57">
        <f t="shared" si="22"/>
        <v>0</v>
      </c>
      <c r="AE57" s="1"/>
      <c r="AF57" s="1"/>
      <c r="AG57" s="1"/>
      <c r="AH57" s="1"/>
      <c r="AI57" s="1"/>
      <c r="AJ57" s="1"/>
      <c r="AK57" s="1"/>
      <c r="AL57" s="1"/>
      <c r="AM57" s="1"/>
      <c r="AN57" s="1"/>
      <c r="AO57" s="1"/>
      <c r="AP57" s="1"/>
      <c r="AQ57" s="1"/>
      <c r="AR57" s="1"/>
      <c r="AS57" s="1"/>
      <c r="AT57" s="1"/>
      <c r="AU57" s="1"/>
      <c r="AV57" s="1"/>
      <c r="AW57" s="1"/>
      <c r="AX57" s="1"/>
      <c r="AY57" s="1"/>
    </row>
    <row r="58" spans="1:51" x14ac:dyDescent="0.25">
      <c r="A58" s="56"/>
      <c r="B58" s="57">
        <f>IF($B$28=0,0,$B$28*B6+$C$28*B7+$D$28*B8+$E$28*B9+$F$28*B10+$G$28*B11+$H$28*B12+$I$28*B13+$J$28*B14+$K$28*B15+$L$28*B16+$M$28*B17+$N$28*B18+$O$28*B19+$P$28*B20+$Q$28*B21+$R$28*B22+$S$28*B23+$T$28*B24+$U$28*B25+$V$28*B26+$W$28*B27+$X$28*B28+$Y$28*B29+$Z$28*B30+$AA$28*B31+$AB$28*B32)</f>
        <v>0</v>
      </c>
      <c r="C58" s="57">
        <f t="shared" ref="C58:AB58" si="45">IF($B$28=0,0,$B$28*C6+$C$28*C7+$D$28*C8+$E$28*C9+$F$28*C10+$G$28*C11+$H$28*C12+$I$28*C13+$J$28*C14+$K$28*C15+$L$28*C16+$M$28*C17+$N$28*C18+$O$28*C19+$P$28*C20+$Q$28*C21+$R$28*C22+$S$28*C23+$T$28*C24+$U$28*C25+$V$28*C26+$W$28*C27+$X$28*C28+$Y$28*C29+$Z$28*C30+$AA$28*C31+$AB$28*C32)</f>
        <v>0</v>
      </c>
      <c r="D58" s="57">
        <f t="shared" si="45"/>
        <v>0</v>
      </c>
      <c r="E58" s="57">
        <f t="shared" si="45"/>
        <v>0</v>
      </c>
      <c r="F58" s="57">
        <f t="shared" si="45"/>
        <v>0</v>
      </c>
      <c r="G58" s="57">
        <f t="shared" si="45"/>
        <v>0</v>
      </c>
      <c r="H58" s="57">
        <f t="shared" si="45"/>
        <v>0</v>
      </c>
      <c r="I58" s="57">
        <f t="shared" si="45"/>
        <v>0</v>
      </c>
      <c r="J58" s="57">
        <f t="shared" si="45"/>
        <v>0</v>
      </c>
      <c r="K58" s="57">
        <f t="shared" si="45"/>
        <v>0</v>
      </c>
      <c r="L58" s="57">
        <f t="shared" si="45"/>
        <v>0</v>
      </c>
      <c r="M58" s="57">
        <f t="shared" si="45"/>
        <v>0</v>
      </c>
      <c r="N58" s="57">
        <f t="shared" si="45"/>
        <v>0</v>
      </c>
      <c r="O58" s="57">
        <f t="shared" si="45"/>
        <v>0</v>
      </c>
      <c r="P58" s="57">
        <f t="shared" si="45"/>
        <v>0</v>
      </c>
      <c r="Q58" s="57">
        <f t="shared" si="45"/>
        <v>0</v>
      </c>
      <c r="R58" s="57">
        <f t="shared" si="45"/>
        <v>0</v>
      </c>
      <c r="S58" s="57">
        <f>IF($B$28=0,0,$B$28*S6+$C$28*S7+$D$28*S8+$E$28*S9+$F$28*S10+$G$28*S11+$H$28*S12+$I$28*S13+$J$28*S14+$K$28*S15+$L$28*S16+$M$28*S17+$N$28*S18+$O$28*S19+$P$28*S20+$Q$28*S21+$R$28*S22+$S$28*S23+$T$28*S24+$U$28*S25+$V$28*S26+$W$28*S27+$X$28*S28+$Y$28*S29+$Z$28*S30+$AA$28*S31+$AB$28*S32)</f>
        <v>0</v>
      </c>
      <c r="T58" s="57">
        <f t="shared" si="45"/>
        <v>0</v>
      </c>
      <c r="U58" s="57">
        <f t="shared" si="45"/>
        <v>0</v>
      </c>
      <c r="V58" s="57">
        <f t="shared" si="45"/>
        <v>0</v>
      </c>
      <c r="W58" s="57">
        <f t="shared" si="45"/>
        <v>0</v>
      </c>
      <c r="X58" s="57">
        <f t="shared" si="45"/>
        <v>0</v>
      </c>
      <c r="Y58" s="57">
        <f t="shared" si="45"/>
        <v>0</v>
      </c>
      <c r="Z58" s="57">
        <f t="shared" si="45"/>
        <v>0</v>
      </c>
      <c r="AA58" s="57">
        <f t="shared" si="45"/>
        <v>0</v>
      </c>
      <c r="AB58" s="57">
        <f t="shared" si="45"/>
        <v>0</v>
      </c>
      <c r="AC58" s="57">
        <f t="shared" si="24"/>
        <v>0</v>
      </c>
      <c r="AD58" s="57">
        <f t="shared" si="22"/>
        <v>0</v>
      </c>
      <c r="AE58" s="1"/>
      <c r="AF58" s="1"/>
      <c r="AG58" s="1"/>
      <c r="AH58" s="1"/>
      <c r="AI58" s="1"/>
      <c r="AJ58" s="1"/>
      <c r="AK58" s="1"/>
      <c r="AL58" s="1"/>
      <c r="AM58" s="1"/>
      <c r="AN58" s="1"/>
      <c r="AO58" s="1"/>
      <c r="AP58" s="1"/>
      <c r="AQ58" s="1"/>
      <c r="AR58" s="1"/>
      <c r="AS58" s="1"/>
      <c r="AT58" s="1"/>
      <c r="AU58" s="1"/>
      <c r="AV58" s="1"/>
      <c r="AW58" s="1"/>
      <c r="AX58" s="1"/>
      <c r="AY58" s="1"/>
    </row>
    <row r="59" spans="1:51" x14ac:dyDescent="0.25">
      <c r="A59" s="56"/>
      <c r="B59" s="57">
        <f>IF($B$29=0,0,$B$29*B6+$C$29*B7+$D$29*B8+$E$29*B9+$F$29*B10+$G$29*B11+$H$29*B12+$I$29*B13+$J$29*B14+$K$29*B15+$L$29*B16+$M$29*B17+$N$29*B18+$O$29*B19+$P$29*B20+$Q$29*B21+$R$29*B22+$S$29*B23+$T$29*B24+$U$29*B25+$V$29*B26+$W$29*B27+$X$29*B28+$Y$29*B29+$Z$29*B30+$AA$29*B31+$AB$29*B32)</f>
        <v>0</v>
      </c>
      <c r="C59" s="57">
        <f t="shared" ref="C59:AB59" si="46">IF($B$29=0,0,$B$29*C6+$C$29*C7+$D$29*C8+$E$29*C9+$F$29*C10+$G$29*C11+$H$29*C12+$I$29*C13+$J$29*C14+$K$29*C15+$L$29*C16+$M$29*C17+$N$29*C18+$O$29*C19+$P$29*C20+$Q$29*C21+$R$29*C22+$S$29*C23+$T$29*C24+$U$29*C25+$V$29*C26+$W$29*C27+$X$29*C28+$Y$29*C29+$Z$29*C30+$AA$29*C31+$AB$29*C32)</f>
        <v>0</v>
      </c>
      <c r="D59" s="57">
        <f t="shared" si="46"/>
        <v>0</v>
      </c>
      <c r="E59" s="57">
        <f t="shared" si="46"/>
        <v>0</v>
      </c>
      <c r="F59" s="57">
        <f t="shared" si="46"/>
        <v>0</v>
      </c>
      <c r="G59" s="57">
        <f t="shared" si="46"/>
        <v>0</v>
      </c>
      <c r="H59" s="57">
        <f t="shared" si="46"/>
        <v>0</v>
      </c>
      <c r="I59" s="57">
        <f t="shared" si="46"/>
        <v>0</v>
      </c>
      <c r="J59" s="57">
        <f t="shared" si="46"/>
        <v>0</v>
      </c>
      <c r="K59" s="57">
        <f t="shared" si="46"/>
        <v>0</v>
      </c>
      <c r="L59" s="57">
        <f t="shared" si="46"/>
        <v>0</v>
      </c>
      <c r="M59" s="57">
        <f t="shared" si="46"/>
        <v>0</v>
      </c>
      <c r="N59" s="57">
        <f t="shared" si="46"/>
        <v>0</v>
      </c>
      <c r="O59" s="57">
        <f t="shared" si="46"/>
        <v>0</v>
      </c>
      <c r="P59" s="57">
        <f t="shared" si="46"/>
        <v>0</v>
      </c>
      <c r="Q59" s="57">
        <f t="shared" si="46"/>
        <v>0</v>
      </c>
      <c r="R59" s="57">
        <f t="shared" si="46"/>
        <v>0</v>
      </c>
      <c r="S59" s="57">
        <f t="shared" si="46"/>
        <v>0</v>
      </c>
      <c r="T59" s="57">
        <f t="shared" si="46"/>
        <v>0</v>
      </c>
      <c r="U59" s="57">
        <f t="shared" si="46"/>
        <v>0</v>
      </c>
      <c r="V59" s="57">
        <f t="shared" si="46"/>
        <v>0</v>
      </c>
      <c r="W59" s="57">
        <f t="shared" si="46"/>
        <v>0</v>
      </c>
      <c r="X59" s="57">
        <f t="shared" si="46"/>
        <v>0</v>
      </c>
      <c r="Y59" s="57">
        <f t="shared" si="46"/>
        <v>0</v>
      </c>
      <c r="Z59" s="57">
        <f t="shared" si="46"/>
        <v>0</v>
      </c>
      <c r="AA59" s="57">
        <f t="shared" si="46"/>
        <v>0</v>
      </c>
      <c r="AB59" s="57">
        <f t="shared" si="46"/>
        <v>0</v>
      </c>
      <c r="AC59" s="57">
        <f t="shared" si="24"/>
        <v>0</v>
      </c>
      <c r="AD59" s="57">
        <f t="shared" si="22"/>
        <v>0</v>
      </c>
      <c r="AE59" s="1"/>
      <c r="AF59" s="1"/>
      <c r="AG59" s="1"/>
      <c r="AH59" s="1"/>
      <c r="AI59" s="1"/>
      <c r="AJ59" s="1"/>
      <c r="AK59" s="1"/>
      <c r="AL59" s="1"/>
      <c r="AM59" s="1"/>
      <c r="AN59" s="1"/>
      <c r="AO59" s="1"/>
      <c r="AP59" s="1"/>
      <c r="AQ59" s="1"/>
      <c r="AR59" s="1"/>
      <c r="AS59" s="1"/>
      <c r="AT59" s="1"/>
      <c r="AU59" s="1"/>
      <c r="AV59" s="1"/>
      <c r="AW59" s="1"/>
      <c r="AX59" s="1"/>
      <c r="AY59" s="1"/>
    </row>
    <row r="60" spans="1:51" x14ac:dyDescent="0.25">
      <c r="A60" s="56"/>
      <c r="B60" s="57">
        <f>IF($B$30=0,0,$B$30*B6+$C$30*B7+$D$30*B8+$E$30*B9+$F$30*B10+$G$30*B11+$H$30*B12+$I$30*B13+$J$30*B14+$K$30*B15+$L$30*B16+$M$30*B17+$N$30*B18+$O$30*B19+$P$30*B20+$Q$30*B21+$R$30*B22+$S$30*B23+$T$30*B24+$U$30*B25+$V$30*B26+$W$30*B27+$X$30*B28+$Y$30*B29+$Z$30*B30+$AA$30*B31+$AB$30*B32)</f>
        <v>0</v>
      </c>
      <c r="C60" s="57">
        <f t="shared" ref="C60:AB60" si="47">IF($B$30=0,0,$B$30*C6+$C$30*C7+$D$30*C8+$E$30*C9+$F$30*C10+$G$30*C11+$H$30*C12+$I$30*C13+$J$30*C14+$K$30*C15+$L$30*C16+$M$30*C17+$N$30*C18+$O$30*C19+$P$30*C20+$Q$30*C21+$R$30*C22+$S$30*C23+$T$30*C24+$U$30*C25+$V$30*C26+$W$30*C27+$X$30*C28+$Y$30*C29+$Z$30*C30+$AA$30*C31+$AB$30*C32)</f>
        <v>0</v>
      </c>
      <c r="D60" s="57">
        <f t="shared" si="47"/>
        <v>0</v>
      </c>
      <c r="E60" s="57">
        <f t="shared" si="47"/>
        <v>0</v>
      </c>
      <c r="F60" s="57">
        <f t="shared" si="47"/>
        <v>0</v>
      </c>
      <c r="G60" s="57">
        <f t="shared" si="47"/>
        <v>0</v>
      </c>
      <c r="H60" s="57">
        <f t="shared" si="47"/>
        <v>0</v>
      </c>
      <c r="I60" s="57">
        <f t="shared" si="47"/>
        <v>0</v>
      </c>
      <c r="J60" s="57">
        <f t="shared" si="47"/>
        <v>0</v>
      </c>
      <c r="K60" s="57">
        <f t="shared" si="47"/>
        <v>0</v>
      </c>
      <c r="L60" s="57">
        <f t="shared" si="47"/>
        <v>0</v>
      </c>
      <c r="M60" s="57">
        <f t="shared" si="47"/>
        <v>0</v>
      </c>
      <c r="N60" s="57">
        <f t="shared" si="47"/>
        <v>0</v>
      </c>
      <c r="O60" s="57">
        <f t="shared" si="47"/>
        <v>0</v>
      </c>
      <c r="P60" s="57">
        <f t="shared" si="47"/>
        <v>0</v>
      </c>
      <c r="Q60" s="57">
        <f t="shared" si="47"/>
        <v>0</v>
      </c>
      <c r="R60" s="57">
        <f t="shared" si="47"/>
        <v>0</v>
      </c>
      <c r="S60" s="57">
        <f t="shared" si="47"/>
        <v>0</v>
      </c>
      <c r="T60" s="57">
        <f t="shared" si="47"/>
        <v>0</v>
      </c>
      <c r="U60" s="57">
        <f t="shared" si="47"/>
        <v>0</v>
      </c>
      <c r="V60" s="57">
        <f t="shared" si="47"/>
        <v>0</v>
      </c>
      <c r="W60" s="57">
        <f t="shared" si="47"/>
        <v>0</v>
      </c>
      <c r="X60" s="57">
        <f t="shared" si="47"/>
        <v>0</v>
      </c>
      <c r="Y60" s="57">
        <f t="shared" si="47"/>
        <v>0</v>
      </c>
      <c r="Z60" s="57">
        <f t="shared" si="47"/>
        <v>0</v>
      </c>
      <c r="AA60" s="57">
        <f t="shared" si="47"/>
        <v>0</v>
      </c>
      <c r="AB60" s="57">
        <f t="shared" si="47"/>
        <v>0</v>
      </c>
      <c r="AC60" s="57">
        <f t="shared" si="24"/>
        <v>0</v>
      </c>
      <c r="AD60" s="57">
        <f t="shared" si="22"/>
        <v>0</v>
      </c>
      <c r="AE60" s="1"/>
      <c r="AF60" s="1"/>
      <c r="AG60" s="1"/>
      <c r="AH60" s="1"/>
      <c r="AI60" s="1"/>
      <c r="AJ60" s="1"/>
      <c r="AK60" s="1"/>
      <c r="AL60" s="1"/>
      <c r="AM60" s="1"/>
      <c r="AN60" s="1"/>
      <c r="AO60" s="1"/>
      <c r="AP60" s="1"/>
      <c r="AQ60" s="1"/>
      <c r="AR60" s="1"/>
      <c r="AS60" s="1"/>
      <c r="AT60" s="1"/>
      <c r="AU60" s="1"/>
      <c r="AV60" s="1"/>
      <c r="AW60" s="1"/>
      <c r="AX60" s="1"/>
      <c r="AY60" s="1"/>
    </row>
    <row r="61" spans="1:51" x14ac:dyDescent="0.25">
      <c r="A61" s="56"/>
      <c r="B61" s="57">
        <f>IF($B$31=0,0,$B$31*B6+$C$31*B7+$D$31*B8+$E$31*B9+$F$31*B10+$G$31*B11+$H$31*B12+$I$31*B13+$J$31*B14+$K$31*B15+$L$31*B16+$M$31*B17+$N$31*B18+$O$31*B19+$P$31*B20+$Q$31*B21+$R$31*B22+$S$31*B23+$T$31*B24+$U$31*B25+$V$31*B26+$W$31*B27+$X$31*B28+$Y$31*B29+$Z$31*B30+$AA$31*B31+$AB$31*B32)</f>
        <v>0</v>
      </c>
      <c r="C61" s="57">
        <f t="shared" ref="C61:AB61" si="48">IF($B$31=0,0,$B$31*C6+$C$31*C7+$D$31*C8+$E$31*C9+$F$31*C10+$G$31*C11+$H$31*C12+$I$31*C13+$J$31*C14+$K$31*C15+$L$31*C16+$M$31*C17+$N$31*C18+$O$31*C19+$P$31*C20+$Q$31*C21+$R$31*C22+$S$31*C23+$T$31*C24+$U$31*C25+$V$31*C26+$W$31*C27+$X$31*C28+$Y$31*C29+$Z$31*C30+$AA$31*C31+$AB$31*C32)</f>
        <v>0</v>
      </c>
      <c r="D61" s="57">
        <f t="shared" si="48"/>
        <v>0</v>
      </c>
      <c r="E61" s="57">
        <f t="shared" si="48"/>
        <v>0</v>
      </c>
      <c r="F61" s="57">
        <f t="shared" si="48"/>
        <v>0</v>
      </c>
      <c r="G61" s="57">
        <f t="shared" si="48"/>
        <v>0</v>
      </c>
      <c r="H61" s="57">
        <f t="shared" si="48"/>
        <v>0</v>
      </c>
      <c r="I61" s="57">
        <f t="shared" si="48"/>
        <v>0</v>
      </c>
      <c r="J61" s="57">
        <f t="shared" si="48"/>
        <v>0</v>
      </c>
      <c r="K61" s="57">
        <f t="shared" si="48"/>
        <v>0</v>
      </c>
      <c r="L61" s="57">
        <f t="shared" si="48"/>
        <v>0</v>
      </c>
      <c r="M61" s="57">
        <f t="shared" si="48"/>
        <v>0</v>
      </c>
      <c r="N61" s="57">
        <f t="shared" si="48"/>
        <v>0</v>
      </c>
      <c r="O61" s="57">
        <f t="shared" si="48"/>
        <v>0</v>
      </c>
      <c r="P61" s="57">
        <f t="shared" si="48"/>
        <v>0</v>
      </c>
      <c r="Q61" s="57">
        <f t="shared" si="48"/>
        <v>0</v>
      </c>
      <c r="R61" s="57">
        <f t="shared" si="48"/>
        <v>0</v>
      </c>
      <c r="S61" s="57">
        <f t="shared" si="48"/>
        <v>0</v>
      </c>
      <c r="T61" s="57">
        <f t="shared" si="48"/>
        <v>0</v>
      </c>
      <c r="U61" s="57">
        <f t="shared" si="48"/>
        <v>0</v>
      </c>
      <c r="V61" s="57">
        <f t="shared" si="48"/>
        <v>0</v>
      </c>
      <c r="W61" s="57">
        <f t="shared" si="48"/>
        <v>0</v>
      </c>
      <c r="X61" s="57">
        <f t="shared" si="48"/>
        <v>0</v>
      </c>
      <c r="Y61" s="57">
        <f t="shared" si="48"/>
        <v>0</v>
      </c>
      <c r="Z61" s="57">
        <f t="shared" si="48"/>
        <v>0</v>
      </c>
      <c r="AA61" s="57">
        <f t="shared" si="48"/>
        <v>0</v>
      </c>
      <c r="AB61" s="57">
        <f t="shared" si="48"/>
        <v>0</v>
      </c>
      <c r="AC61" s="57">
        <f t="shared" si="24"/>
        <v>0</v>
      </c>
      <c r="AD61" s="57">
        <f t="shared" si="22"/>
        <v>0</v>
      </c>
      <c r="AE61" s="1"/>
      <c r="AF61" s="1"/>
      <c r="AG61" s="1"/>
      <c r="AH61" s="1"/>
      <c r="AI61" s="1"/>
      <c r="AJ61" s="1"/>
      <c r="AK61" s="1"/>
      <c r="AL61" s="1"/>
      <c r="AM61" s="1"/>
      <c r="AN61" s="1"/>
      <c r="AO61" s="1"/>
      <c r="AP61" s="1"/>
      <c r="AQ61" s="1"/>
      <c r="AR61" s="1"/>
      <c r="AS61" s="1"/>
      <c r="AT61" s="1"/>
      <c r="AU61" s="1"/>
      <c r="AV61" s="1"/>
      <c r="AW61" s="1"/>
      <c r="AX61" s="1"/>
      <c r="AY61" s="1"/>
    </row>
    <row r="62" spans="1:51" x14ac:dyDescent="0.25">
      <c r="A62" s="56"/>
      <c r="B62" s="57">
        <f>IF($B$32=0,0,$B$32*B6+$C$32*B7+$D$32*B8+$E$32*B9+$F$32*B10+$G$32*B11+$H$32*B12+$I$32*B13+$J$32*B14+$K$32*B15+$L$32*B16+$M$32*B17+$N$32*B18+$O$32*B19+$P$32*B20+$Q$32*B21+$R$32*B22+$S$32*B23+$T$32*B24+$U$32*B25+$V$32*B26+$W$32*B27+$X$32*B28+$Y$32*B29+$Z$32*B30+$AA$32*B31+$AB$32*B32)</f>
        <v>0</v>
      </c>
      <c r="C62" s="57">
        <f>IF($B$32=0,0,$B$32*C6+$C$32*C7+$D$32*C8+$E$32*C9+$F$32*C10+$G$32*C11+$H$32*C12+$I$32*C13+$J$32*C14+$K$32*C15+$L$32*C16+$M$32*C17+$N$32*C18+$O$32*C19+$P$32*C20+$Q$32*C21+$R$32*C22+$S$32*C23+$T$32*C24+$U$32*C25+$V$32*C26+$W$32*C27+$X$32*C28+$Y$32*C29+$Z$32*C30+$AA$32*C31+$AB$32*C32)</f>
        <v>0</v>
      </c>
      <c r="D62" s="57">
        <f t="shared" ref="D62:AB62" si="49">IF($B$32=0,0,$B$32*D6+$C$32*D7+$D$32*D8+$E$32*D9+$F$32*D10+$G$32*D11+$H$32*D12+$I$32*D13+$J$32*D14+$K$32*D15+$L$32*D16+$M$32*D17+$N$32*D18+$O$32*D19+$P$32*D20+$Q$32*D21+$R$32*D22+$S$32*D23+$T$32*D24+$U$32*D25+$V$32*D26+$W$32*D27+$X$32*D28+$Y$32*D29+$Z$32*D30+$AA$32*D31+$AB$32*D32)</f>
        <v>0</v>
      </c>
      <c r="E62" s="57">
        <f t="shared" si="49"/>
        <v>0</v>
      </c>
      <c r="F62" s="57">
        <f t="shared" si="49"/>
        <v>0</v>
      </c>
      <c r="G62" s="57">
        <f t="shared" si="49"/>
        <v>0</v>
      </c>
      <c r="H62" s="57">
        <f t="shared" si="49"/>
        <v>0</v>
      </c>
      <c r="I62" s="57">
        <f t="shared" si="49"/>
        <v>0</v>
      </c>
      <c r="J62" s="57">
        <f t="shared" si="49"/>
        <v>0</v>
      </c>
      <c r="K62" s="57">
        <f t="shared" si="49"/>
        <v>0</v>
      </c>
      <c r="L62" s="57">
        <f t="shared" si="49"/>
        <v>0</v>
      </c>
      <c r="M62" s="57">
        <f t="shared" si="49"/>
        <v>0</v>
      </c>
      <c r="N62" s="57">
        <f t="shared" si="49"/>
        <v>0</v>
      </c>
      <c r="O62" s="57">
        <f t="shared" si="49"/>
        <v>0</v>
      </c>
      <c r="P62" s="57">
        <f t="shared" si="49"/>
        <v>0</v>
      </c>
      <c r="Q62" s="57">
        <f t="shared" si="49"/>
        <v>0</v>
      </c>
      <c r="R62" s="57">
        <f t="shared" si="49"/>
        <v>0</v>
      </c>
      <c r="S62" s="57">
        <f t="shared" si="49"/>
        <v>0</v>
      </c>
      <c r="T62" s="57">
        <f t="shared" si="49"/>
        <v>0</v>
      </c>
      <c r="U62" s="57">
        <f t="shared" si="49"/>
        <v>0</v>
      </c>
      <c r="V62" s="57">
        <f t="shared" si="49"/>
        <v>0</v>
      </c>
      <c r="W62" s="57">
        <f t="shared" si="49"/>
        <v>0</v>
      </c>
      <c r="X62" s="57">
        <f t="shared" si="49"/>
        <v>0</v>
      </c>
      <c r="Y62" s="57">
        <f t="shared" si="49"/>
        <v>0</v>
      </c>
      <c r="Z62" s="57">
        <f t="shared" si="49"/>
        <v>0</v>
      </c>
      <c r="AA62" s="57">
        <f t="shared" si="49"/>
        <v>0</v>
      </c>
      <c r="AB62" s="57">
        <f t="shared" si="49"/>
        <v>0</v>
      </c>
      <c r="AC62" s="57">
        <f t="shared" si="24"/>
        <v>0</v>
      </c>
      <c r="AD62" s="57">
        <f t="shared" si="22"/>
        <v>0</v>
      </c>
      <c r="AE62" s="1"/>
      <c r="AF62" s="1"/>
      <c r="AG62" s="1"/>
      <c r="AH62" s="1"/>
      <c r="AI62" s="1"/>
      <c r="AJ62" s="1"/>
      <c r="AK62" s="1"/>
      <c r="AL62" s="1"/>
      <c r="AM62" s="1"/>
      <c r="AN62" s="1"/>
      <c r="AO62" s="1"/>
      <c r="AP62" s="1"/>
      <c r="AQ62" s="1"/>
      <c r="AR62" s="1"/>
      <c r="AS62" s="1"/>
      <c r="AT62" s="1"/>
      <c r="AU62" s="1"/>
      <c r="AV62" s="1"/>
      <c r="AW62" s="1"/>
      <c r="AX62" s="1"/>
      <c r="AY62" s="1"/>
    </row>
    <row r="63" spans="1:51" ht="21" x14ac:dyDescent="0.4">
      <c r="A63" s="44"/>
      <c r="B63" s="1"/>
      <c r="C63" s="1"/>
      <c r="D63" s="1"/>
      <c r="E63" s="1"/>
      <c r="F63" s="1"/>
      <c r="G63" s="1"/>
      <c r="H63" s="58"/>
      <c r="I63" s="58"/>
      <c r="J63" s="58"/>
      <c r="K63" s="58"/>
      <c r="L63" s="58"/>
      <c r="M63" s="58"/>
      <c r="N63" s="59"/>
      <c r="O63" s="59"/>
      <c r="P63" s="1"/>
      <c r="Q63" s="1"/>
      <c r="R63" s="1"/>
      <c r="S63" s="1"/>
      <c r="T63" s="1"/>
      <c r="U63" s="1"/>
      <c r="V63" s="1"/>
      <c r="W63" s="1"/>
      <c r="X63" s="1"/>
      <c r="Y63" s="1"/>
      <c r="Z63" s="1"/>
      <c r="AA63" s="1"/>
      <c r="AB63" s="39" t="s">
        <v>71</v>
      </c>
      <c r="AC63" s="51">
        <f>SUM(AC36:AC62)</f>
        <v>1</v>
      </c>
      <c r="AD63" s="51">
        <f>SUM(AD36:AD62)</f>
        <v>1</v>
      </c>
      <c r="AE63" s="1"/>
      <c r="AF63" s="1"/>
      <c r="AG63" s="1"/>
      <c r="AH63" s="1"/>
      <c r="AI63" s="1"/>
      <c r="AJ63" s="1"/>
      <c r="AK63" s="1"/>
      <c r="AL63" s="1"/>
      <c r="AM63" s="1"/>
      <c r="AN63" s="1"/>
      <c r="AO63" s="1"/>
      <c r="AP63" s="1"/>
      <c r="AQ63" s="1"/>
      <c r="AR63" s="1"/>
      <c r="AS63" s="1"/>
      <c r="AT63" s="1"/>
      <c r="AU63" s="1"/>
      <c r="AV63" s="1"/>
      <c r="AW63" s="1"/>
      <c r="AX63" s="1"/>
      <c r="AY63" s="1"/>
    </row>
    <row r="64" spans="1:51" x14ac:dyDescent="0.25">
      <c r="A64" s="44"/>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spans="1:51" x14ac:dyDescent="0.25">
      <c r="A65" s="44"/>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spans="1:51" x14ac:dyDescent="0.25">
      <c r="A66" s="44"/>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spans="1:51" x14ac:dyDescent="0.25">
      <c r="A67" s="44"/>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spans="1:51" x14ac:dyDescent="0.25">
      <c r="A68" s="44"/>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spans="1:51" x14ac:dyDescent="0.25">
      <c r="A69" s="44"/>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spans="1:51" x14ac:dyDescent="0.25">
      <c r="A70" s="44"/>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spans="1:51" x14ac:dyDescent="0.25">
      <c r="A71" s="44"/>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spans="1:51" x14ac:dyDescent="0.25">
      <c r="A72" s="44"/>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spans="1:51" x14ac:dyDescent="0.25">
      <c r="A73" s="44"/>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spans="1:51" x14ac:dyDescent="0.25">
      <c r="A74" s="44"/>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spans="1:51" x14ac:dyDescent="0.25">
      <c r="A75" s="44"/>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spans="1:51" x14ac:dyDescent="0.25">
      <c r="A76" s="44"/>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spans="1:51" x14ac:dyDescent="0.25">
      <c r="A77" s="44"/>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spans="1:51" x14ac:dyDescent="0.25">
      <c r="A78" s="44"/>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spans="1:51" x14ac:dyDescent="0.25">
      <c r="A79" s="44"/>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spans="1:51" x14ac:dyDescent="0.25">
      <c r="A80" s="44"/>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spans="1:51" x14ac:dyDescent="0.25">
      <c r="A81" s="44"/>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spans="1:51" x14ac:dyDescent="0.25">
      <c r="A82" s="44"/>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spans="1:51" x14ac:dyDescent="0.25">
      <c r="A83" s="44"/>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spans="1:51" x14ac:dyDescent="0.25">
      <c r="A84" s="44"/>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spans="1:51" x14ac:dyDescent="0.25">
      <c r="A85" s="44"/>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spans="1:51" x14ac:dyDescent="0.25">
      <c r="A86" s="44"/>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spans="1:51" x14ac:dyDescent="0.25">
      <c r="A87" s="44"/>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spans="1:51" x14ac:dyDescent="0.25">
      <c r="A88" s="44"/>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spans="1:51" x14ac:dyDescent="0.25">
      <c r="A89" s="44"/>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spans="1:51" x14ac:dyDescent="0.25">
      <c r="A90" s="44"/>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spans="1:51" x14ac:dyDescent="0.25">
      <c r="A91" s="44"/>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spans="1:51" x14ac:dyDescent="0.25">
      <c r="A92" s="44"/>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spans="1:51" x14ac:dyDescent="0.25">
      <c r="A93" s="44"/>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spans="1:51" x14ac:dyDescent="0.25">
      <c r="A94" s="44"/>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spans="1:51" x14ac:dyDescent="0.25">
      <c r="A95" s="44"/>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spans="1:51" x14ac:dyDescent="0.25">
      <c r="A96" s="44"/>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spans="1:51" x14ac:dyDescent="0.25">
      <c r="A97" s="44"/>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spans="1:51" x14ac:dyDescent="0.25">
      <c r="A98" s="44"/>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spans="1:51" x14ac:dyDescent="0.25">
      <c r="A99" s="44"/>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spans="1:51" x14ac:dyDescent="0.25">
      <c r="A100" s="44"/>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spans="1:51" x14ac:dyDescent="0.25">
      <c r="A101" s="44"/>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spans="1:51" x14ac:dyDescent="0.25">
      <c r="A102" s="44"/>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spans="1:51" x14ac:dyDescent="0.25">
      <c r="A103" s="44"/>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spans="1:51" x14ac:dyDescent="0.25">
      <c r="A104" s="4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spans="1:51" x14ac:dyDescent="0.25">
      <c r="A105" s="44"/>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spans="1:51" x14ac:dyDescent="0.25">
      <c r="A106" s="44"/>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spans="1:51" x14ac:dyDescent="0.25">
      <c r="A107" s="44"/>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51" x14ac:dyDescent="0.25">
      <c r="A108" s="44"/>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51" x14ac:dyDescent="0.25">
      <c r="A109" s="44"/>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51" x14ac:dyDescent="0.25">
      <c r="A110" s="44"/>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51" x14ac:dyDescent="0.25">
      <c r="A111" s="44"/>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51" x14ac:dyDescent="0.25">
      <c r="A112" s="44"/>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27" x14ac:dyDescent="0.25">
      <c r="A113" s="44"/>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4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sheetData>
  <sheetProtection algorithmName="SHA-512" hashValue="eilwuB6s/DUu4j2UCM24/4psH7IGmB+NnPrVFFYD0bubhpWlVsXkA5WoCXnQXfQ+ty1+OP2EFWSYhGMosYKnhA==" saltValue="vFHKhO7gUQgZcVz7gE+LLQ==" spinCount="100000" sheet="1" objects="1" scenarios="1"/>
  <mergeCells count="5">
    <mergeCell ref="H34:J34"/>
    <mergeCell ref="A1:L1"/>
    <mergeCell ref="M1:S1"/>
    <mergeCell ref="G4:M4"/>
    <mergeCell ref="A2:S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FCFF-D674-4DA1-8524-E64995D51164}">
  <dimension ref="A1:BC114"/>
  <sheetViews>
    <sheetView tabSelected="1" topLeftCell="F6" zoomScale="80" zoomScaleNormal="80" workbookViewId="0">
      <selection activeCell="AD40" sqref="AD40"/>
    </sheetView>
  </sheetViews>
  <sheetFormatPr defaultRowHeight="13.8" x14ac:dyDescent="0.25"/>
  <cols>
    <col min="1" max="1" width="14.3984375" style="47" customWidth="1"/>
    <col min="6" max="6" width="11.3984375" customWidth="1"/>
    <col min="12" max="12" width="11.3984375" bestFit="1" customWidth="1"/>
    <col min="16" max="17" width="11.3984375" bestFit="1" customWidth="1"/>
  </cols>
  <sheetData>
    <row r="1" spans="1:55" ht="150" customHeight="1" x14ac:dyDescent="0.3">
      <c r="A1" s="85" t="s">
        <v>97</v>
      </c>
      <c r="B1" s="85"/>
      <c r="C1" s="85"/>
      <c r="D1" s="85"/>
      <c r="E1" s="85"/>
      <c r="F1" s="85"/>
      <c r="G1" s="85"/>
      <c r="H1" s="85"/>
      <c r="I1" s="85"/>
      <c r="J1" s="85"/>
      <c r="K1" s="85"/>
      <c r="L1" s="85"/>
      <c r="M1" s="86" t="s">
        <v>88</v>
      </c>
      <c r="N1" s="86"/>
      <c r="O1" s="86"/>
      <c r="P1" s="86"/>
      <c r="Q1" s="86"/>
      <c r="R1" s="86"/>
      <c r="S1" s="86"/>
      <c r="T1" s="44"/>
      <c r="U1" s="44"/>
      <c r="V1" s="44"/>
      <c r="W1" s="44"/>
      <c r="X1" s="44"/>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s="1" customFormat="1" x14ac:dyDescent="0.25">
      <c r="A2" s="88" t="s">
        <v>87</v>
      </c>
      <c r="B2" s="89"/>
      <c r="C2" s="89"/>
      <c r="D2" s="89"/>
      <c r="E2" s="89"/>
      <c r="F2" s="89"/>
      <c r="G2" s="89"/>
      <c r="H2" s="89"/>
      <c r="I2" s="89"/>
      <c r="J2" s="89"/>
      <c r="K2" s="89"/>
      <c r="L2" s="89"/>
      <c r="M2" s="89"/>
      <c r="N2" s="89"/>
      <c r="O2" s="89"/>
      <c r="P2" s="89"/>
      <c r="Q2" s="89"/>
      <c r="R2" s="89"/>
      <c r="S2" s="89"/>
    </row>
    <row r="3" spans="1:55" s="1" customFormat="1" x14ac:dyDescent="0.25">
      <c r="A3" s="45"/>
      <c r="B3" s="40"/>
      <c r="C3" s="40"/>
      <c r="D3" s="40"/>
      <c r="E3" s="40"/>
      <c r="F3" s="40"/>
      <c r="G3" s="46"/>
      <c r="H3" s="46"/>
      <c r="I3" s="46"/>
      <c r="J3" s="46"/>
      <c r="K3" s="46"/>
      <c r="L3" s="46"/>
      <c r="M3" s="46"/>
      <c r="N3" s="40"/>
      <c r="O3" s="40"/>
    </row>
    <row r="4" spans="1:55" s="1" customFormat="1" x14ac:dyDescent="0.25">
      <c r="G4" s="87" t="s">
        <v>93</v>
      </c>
      <c r="H4" s="87"/>
      <c r="I4" s="87"/>
      <c r="J4" s="87"/>
      <c r="K4" s="87"/>
      <c r="L4" s="87"/>
      <c r="M4" s="87"/>
    </row>
    <row r="5" spans="1:55" s="52" customFormat="1" ht="34.799999999999997" x14ac:dyDescent="0.25">
      <c r="A5" s="47"/>
      <c r="B5" s="48" t="e" cm="1" vm="2">
        <f t="array" ref="B5:AB5">IF(TRANSPOSE(A6:A32)=0,"-",TRANSPOSE(A6:A32))</f>
        <v>#VALUE!</v>
      </c>
      <c r="C5" s="49" t="str">
        <v>-</v>
      </c>
      <c r="D5" s="48" t="str">
        <v>-</v>
      </c>
      <c r="E5" s="48" t="str">
        <v>-</v>
      </c>
      <c r="F5" s="48" t="str">
        <v>-</v>
      </c>
      <c r="G5" s="48" t="str">
        <v>-</v>
      </c>
      <c r="H5" s="48" t="str">
        <v>-</v>
      </c>
      <c r="I5" s="48" t="str">
        <v>-</v>
      </c>
      <c r="J5" s="48" t="str">
        <v>-</v>
      </c>
      <c r="K5" s="48" t="str">
        <v>-</v>
      </c>
      <c r="L5" s="48" t="str">
        <v>-</v>
      </c>
      <c r="M5" s="48" t="str">
        <v>-</v>
      </c>
      <c r="N5" s="48" t="str">
        <v>-</v>
      </c>
      <c r="O5" s="48" t="str">
        <v>-</v>
      </c>
      <c r="P5" s="48" t="str">
        <v>-</v>
      </c>
      <c r="Q5" s="48" t="str">
        <v>-</v>
      </c>
      <c r="R5" s="48" t="str">
        <v>-</v>
      </c>
      <c r="S5" s="48" t="str">
        <v>-</v>
      </c>
      <c r="T5" s="48" t="str">
        <v>-</v>
      </c>
      <c r="U5" s="48" t="str">
        <v>-</v>
      </c>
      <c r="V5" s="48" t="str">
        <v>-</v>
      </c>
      <c r="W5" s="48" t="str">
        <v>-</v>
      </c>
      <c r="X5" s="48" t="str">
        <v>-</v>
      </c>
      <c r="Y5" s="48" t="str">
        <v>-</v>
      </c>
      <c r="Z5" s="48" t="str">
        <v>-</v>
      </c>
      <c r="AA5" s="48" t="str">
        <v>-</v>
      </c>
      <c r="AB5" s="48" t="str">
        <v>-</v>
      </c>
      <c r="AC5" s="1"/>
      <c r="AD5" s="1"/>
      <c r="AE5" s="1"/>
      <c r="AF5" s="1"/>
      <c r="AG5" s="1"/>
      <c r="AH5" s="1"/>
      <c r="AI5" s="1"/>
      <c r="AJ5" s="1"/>
      <c r="AK5" s="1"/>
      <c r="AL5" s="1"/>
      <c r="AM5" s="1"/>
      <c r="AN5" s="1"/>
      <c r="AO5" s="1"/>
      <c r="AP5" s="1"/>
      <c r="AQ5" s="1"/>
      <c r="AR5" s="1"/>
      <c r="AS5" s="1"/>
      <c r="AT5" s="1"/>
      <c r="AU5" s="1"/>
      <c r="AV5" s="1"/>
      <c r="AW5" s="1"/>
      <c r="AX5" s="1"/>
      <c r="AY5" s="1"/>
      <c r="AZ5" s="1"/>
      <c r="BA5" s="1"/>
      <c r="BB5" s="50"/>
      <c r="BC5" s="51"/>
    </row>
    <row r="6" spans="1:55" x14ac:dyDescent="0.25">
      <c r="A6" s="49" t="e" cm="1" vm="2">
        <f t="array" ref="A6">_xlfn._xlws.FILTER('AHP(Structure the hierarchy)'!B6:B33, 'AHP(Structure the hierarchy)'!B6:B33&lt;&gt;"")</f>
        <v>#VALUE!</v>
      </c>
      <c r="B6" s="53">
        <v>1</v>
      </c>
      <c r="C6" s="42"/>
      <c r="D6" s="42"/>
      <c r="E6" s="42"/>
      <c r="F6" s="42"/>
      <c r="G6" s="42"/>
      <c r="H6" s="42"/>
      <c r="I6" s="42"/>
      <c r="J6" s="42"/>
      <c r="K6" s="42"/>
      <c r="L6" s="43"/>
      <c r="M6" s="43"/>
      <c r="N6" s="43"/>
      <c r="O6" s="43"/>
      <c r="P6" s="43"/>
      <c r="Q6" s="42"/>
      <c r="R6" s="42"/>
      <c r="S6" s="42"/>
      <c r="T6" s="42"/>
      <c r="U6" s="42"/>
      <c r="V6" s="42"/>
      <c r="W6" s="42"/>
      <c r="X6" s="42"/>
      <c r="Y6" s="42"/>
      <c r="Z6" s="42"/>
      <c r="AA6" s="42"/>
      <c r="AB6" s="42"/>
      <c r="AC6" s="1"/>
      <c r="AD6" s="1"/>
      <c r="AE6" s="1"/>
      <c r="AF6" s="1"/>
      <c r="AG6" s="1"/>
      <c r="AH6" s="1"/>
      <c r="AI6" s="1"/>
      <c r="AJ6" s="1"/>
      <c r="AK6" s="1"/>
      <c r="AL6" s="1"/>
      <c r="AM6" s="1"/>
      <c r="AN6" s="1"/>
      <c r="AO6" s="1"/>
      <c r="AP6" s="1"/>
      <c r="AQ6" s="1"/>
      <c r="AR6" s="1"/>
      <c r="AS6" s="1"/>
      <c r="AT6" s="1"/>
      <c r="AU6" s="1"/>
      <c r="AV6" s="1"/>
      <c r="AW6" s="1"/>
      <c r="AX6" s="1"/>
      <c r="AY6" s="1"/>
      <c r="AZ6" s="1"/>
      <c r="BA6" s="1"/>
      <c r="BB6" s="1"/>
      <c r="BC6" s="1"/>
    </row>
    <row r="7" spans="1:55" ht="23.4" x14ac:dyDescent="0.25">
      <c r="A7" s="49"/>
      <c r="B7" s="52">
        <f>IF(C6=0,0,1/C6)</f>
        <v>0</v>
      </c>
      <c r="C7" s="53">
        <v>1</v>
      </c>
      <c r="D7" s="42"/>
      <c r="E7" s="42"/>
      <c r="F7" s="42"/>
      <c r="G7" s="42"/>
      <c r="H7" s="42"/>
      <c r="I7" s="42"/>
      <c r="J7" s="42"/>
      <c r="K7" s="42"/>
      <c r="L7" s="43"/>
      <c r="M7" s="43"/>
      <c r="N7" s="43"/>
      <c r="O7" s="43"/>
      <c r="P7" s="43"/>
      <c r="Q7" s="42"/>
      <c r="R7" s="42"/>
      <c r="S7" s="42"/>
      <c r="T7" s="42"/>
      <c r="U7" s="42"/>
      <c r="V7" s="42"/>
      <c r="W7" s="42"/>
      <c r="X7" s="42"/>
      <c r="Y7" s="42"/>
      <c r="Z7" s="42"/>
      <c r="AA7" s="42"/>
      <c r="AB7" s="42"/>
      <c r="AC7" s="1"/>
      <c r="AD7" s="1"/>
      <c r="AE7" s="1"/>
      <c r="AF7" s="1"/>
      <c r="AG7" s="1"/>
      <c r="AH7" s="1"/>
      <c r="AI7" s="1"/>
      <c r="AJ7" s="1"/>
      <c r="AK7" s="1"/>
      <c r="AL7" s="1"/>
      <c r="AM7" s="1"/>
      <c r="AN7" s="1"/>
      <c r="AO7" s="1"/>
      <c r="AP7" s="1"/>
      <c r="AQ7" s="1"/>
      <c r="AR7" s="1"/>
      <c r="AS7" s="1"/>
      <c r="AT7" s="1"/>
      <c r="AU7" s="1"/>
      <c r="AV7" s="1"/>
      <c r="AW7" s="1"/>
      <c r="AX7" s="1"/>
      <c r="AY7" s="1"/>
      <c r="AZ7" s="1"/>
      <c r="BA7" s="1"/>
      <c r="BB7" s="1"/>
      <c r="BC7" s="1"/>
    </row>
    <row r="8" spans="1:55" x14ac:dyDescent="0.25">
      <c r="A8" s="49"/>
      <c r="B8" s="52">
        <f>IF(D6=0,0,1/D6)</f>
        <v>0</v>
      </c>
      <c r="C8" s="52">
        <f>IF(D7=0,0,1/D7)</f>
        <v>0</v>
      </c>
      <c r="D8" s="53">
        <v>1</v>
      </c>
      <c r="E8" s="42"/>
      <c r="F8" s="42"/>
      <c r="G8" s="42"/>
      <c r="H8" s="42"/>
      <c r="I8" s="42"/>
      <c r="J8" s="42"/>
      <c r="K8" s="42"/>
      <c r="L8" s="43"/>
      <c r="M8" s="43"/>
      <c r="N8" s="43"/>
      <c r="O8" s="43"/>
      <c r="P8" s="43"/>
      <c r="Q8" s="42"/>
      <c r="R8" s="42"/>
      <c r="S8" s="42"/>
      <c r="T8" s="42"/>
      <c r="U8" s="42"/>
      <c r="V8" s="42"/>
      <c r="W8" s="42"/>
      <c r="X8" s="42"/>
      <c r="Y8" s="42"/>
      <c r="Z8" s="42"/>
      <c r="AA8" s="42"/>
      <c r="AB8" s="42"/>
      <c r="AC8" s="1"/>
      <c r="AD8" s="1"/>
      <c r="AE8" s="1"/>
      <c r="AF8" s="1"/>
      <c r="AG8" s="1"/>
      <c r="AH8" s="1"/>
      <c r="AI8" s="1"/>
      <c r="AJ8" s="1"/>
      <c r="AK8" s="1"/>
      <c r="AL8" s="1"/>
      <c r="AM8" s="1"/>
      <c r="AN8" s="1"/>
      <c r="AO8" s="1"/>
      <c r="AP8" s="1"/>
      <c r="AQ8" s="1"/>
      <c r="AR8" s="1"/>
      <c r="AS8" s="1"/>
      <c r="AT8" s="1"/>
      <c r="AU8" s="1"/>
      <c r="AV8" s="1"/>
      <c r="AW8" s="1"/>
      <c r="AX8" s="1"/>
      <c r="AY8" s="1"/>
      <c r="AZ8" s="1"/>
      <c r="BA8" s="1"/>
      <c r="BB8" s="1"/>
      <c r="BC8" s="1"/>
    </row>
    <row r="9" spans="1:55" ht="23.4" x14ac:dyDescent="0.25">
      <c r="A9" s="49"/>
      <c r="B9" s="52">
        <f>IF(E6=0,0,1/E6)</f>
        <v>0</v>
      </c>
      <c r="C9" s="52">
        <f>IF(E7=0,0,1/E7)</f>
        <v>0</v>
      </c>
      <c r="D9" s="52">
        <f>IF(E8=0,0,1/E8)</f>
        <v>0</v>
      </c>
      <c r="E9" s="53">
        <v>1</v>
      </c>
      <c r="F9" s="42"/>
      <c r="G9" s="42"/>
      <c r="H9" s="42"/>
      <c r="I9" s="42"/>
      <c r="J9" s="42"/>
      <c r="K9" s="42"/>
      <c r="L9" s="43"/>
      <c r="M9" s="43"/>
      <c r="N9" s="43"/>
      <c r="O9" s="43"/>
      <c r="P9" s="43"/>
      <c r="Q9" s="42"/>
      <c r="R9" s="42"/>
      <c r="S9" s="42"/>
      <c r="T9" s="42"/>
      <c r="U9" s="42"/>
      <c r="V9" s="42"/>
      <c r="W9" s="42"/>
      <c r="X9" s="42"/>
      <c r="Y9" s="42"/>
      <c r="Z9" s="42"/>
      <c r="AA9" s="42"/>
      <c r="AB9" s="42"/>
      <c r="AC9" s="1"/>
      <c r="AD9" s="1"/>
      <c r="AE9" s="1"/>
      <c r="AF9" s="1"/>
      <c r="AG9" s="1"/>
      <c r="AH9" s="1"/>
      <c r="AI9" s="1"/>
      <c r="AJ9" s="1"/>
      <c r="AK9" s="1"/>
      <c r="AL9" s="1"/>
      <c r="AM9" s="1"/>
      <c r="AN9" s="1"/>
      <c r="AO9" s="1"/>
      <c r="AP9" s="1"/>
      <c r="AQ9" s="1"/>
      <c r="AR9" s="1"/>
      <c r="AS9" s="1"/>
      <c r="AT9" s="1"/>
      <c r="AU9" s="1"/>
      <c r="AV9" s="1"/>
      <c r="AW9" s="1"/>
      <c r="AX9" s="1"/>
      <c r="AY9" s="1"/>
      <c r="AZ9" s="1"/>
      <c r="BA9" s="1"/>
      <c r="BB9" s="1"/>
      <c r="BC9" s="1"/>
    </row>
    <row r="10" spans="1:55" x14ac:dyDescent="0.25">
      <c r="A10" s="49"/>
      <c r="B10" s="52">
        <f>IF(F6=0,0,1/F6)</f>
        <v>0</v>
      </c>
      <c r="C10" s="52">
        <f>IF(F7=0,0,1/F7)</f>
        <v>0</v>
      </c>
      <c r="D10" s="52">
        <f>IF(F8=0,0,1/F8)</f>
        <v>0</v>
      </c>
      <c r="E10" s="52">
        <f>IF(F9=0,0,1/F9)</f>
        <v>0</v>
      </c>
      <c r="F10" s="53">
        <v>1</v>
      </c>
      <c r="G10" s="42"/>
      <c r="H10" s="42"/>
      <c r="I10" s="42"/>
      <c r="J10" s="42"/>
      <c r="K10" s="42"/>
      <c r="L10" s="43"/>
      <c r="M10" s="43"/>
      <c r="N10" s="43"/>
      <c r="O10" s="43"/>
      <c r="P10" s="43"/>
      <c r="Q10" s="42"/>
      <c r="R10" s="42"/>
      <c r="S10" s="42"/>
      <c r="T10" s="42"/>
      <c r="U10" s="42"/>
      <c r="V10" s="42"/>
      <c r="W10" s="42"/>
      <c r="X10" s="42"/>
      <c r="Y10" s="42"/>
      <c r="Z10" s="42"/>
      <c r="AA10" s="42"/>
      <c r="AB10" s="42"/>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row>
    <row r="11" spans="1:55" x14ac:dyDescent="0.25">
      <c r="A11" s="49"/>
      <c r="B11" s="52">
        <f>IF(G6=0,0,1/G6)</f>
        <v>0</v>
      </c>
      <c r="C11" s="52">
        <f>IF(G7=0,0,1/G7)</f>
        <v>0</v>
      </c>
      <c r="D11" s="52">
        <f>IF(G8=0,0,1/G8)</f>
        <v>0</v>
      </c>
      <c r="E11" s="52">
        <f>IF(G9=0,0,1/G9)</f>
        <v>0</v>
      </c>
      <c r="F11" s="52">
        <f>IF(G10=0,0,1/G10)</f>
        <v>0</v>
      </c>
      <c r="G11" s="53">
        <v>1</v>
      </c>
      <c r="H11" s="42"/>
      <c r="I11" s="42"/>
      <c r="J11" s="42"/>
      <c r="K11" s="42"/>
      <c r="L11" s="43"/>
      <c r="M11" s="43"/>
      <c r="N11" s="43"/>
      <c r="O11" s="43"/>
      <c r="P11" s="43"/>
      <c r="Q11" s="42"/>
      <c r="R11" s="42"/>
      <c r="S11" s="42"/>
      <c r="T11" s="42"/>
      <c r="U11" s="42"/>
      <c r="V11" s="42"/>
      <c r="W11" s="42"/>
      <c r="X11" s="42"/>
      <c r="Y11" s="42"/>
      <c r="Z11" s="42"/>
      <c r="AA11" s="42"/>
      <c r="AB11" s="42"/>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row>
    <row r="12" spans="1:55" x14ac:dyDescent="0.25">
      <c r="A12" s="49"/>
      <c r="B12" s="52">
        <f>IF(H6=0,0,1/H6)</f>
        <v>0</v>
      </c>
      <c r="C12" s="52">
        <f>IF(H7=0,0,1/H7)</f>
        <v>0</v>
      </c>
      <c r="D12" s="52">
        <f>IF(H8=0,0,1/H8)</f>
        <v>0</v>
      </c>
      <c r="E12" s="52">
        <f>IF(H9=0,0,1/H9)</f>
        <v>0</v>
      </c>
      <c r="F12" s="52">
        <f>IF(H10=0,0,1/H10)</f>
        <v>0</v>
      </c>
      <c r="G12" s="52">
        <f>IF(H11=0,0,1/H11)</f>
        <v>0</v>
      </c>
      <c r="H12" s="53">
        <v>1</v>
      </c>
      <c r="I12" s="42"/>
      <c r="J12" s="42"/>
      <c r="K12" s="42"/>
      <c r="L12" s="43"/>
      <c r="M12" s="43"/>
      <c r="N12" s="43"/>
      <c r="O12" s="43"/>
      <c r="P12" s="43"/>
      <c r="Q12" s="42"/>
      <c r="R12" s="42"/>
      <c r="S12" s="42"/>
      <c r="T12" s="42"/>
      <c r="U12" s="42"/>
      <c r="V12" s="42"/>
      <c r="W12" s="42"/>
      <c r="X12" s="42"/>
      <c r="Y12" s="42"/>
      <c r="Z12" s="42"/>
      <c r="AA12" s="42"/>
      <c r="AB12" s="42"/>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row>
    <row r="13" spans="1:55" x14ac:dyDescent="0.25">
      <c r="A13" s="49"/>
      <c r="B13" s="52">
        <f>IF(I6=0,0,1/I6)</f>
        <v>0</v>
      </c>
      <c r="C13" s="52">
        <f>IF(I7=0,0,1/I7)</f>
        <v>0</v>
      </c>
      <c r="D13" s="52">
        <f>IF(I8=0,0,1/I8)</f>
        <v>0</v>
      </c>
      <c r="E13" s="52">
        <f>IF(I9=0,0,1/I9)</f>
        <v>0</v>
      </c>
      <c r="F13" s="52">
        <f>IF(I10=0,0,1/I10)</f>
        <v>0</v>
      </c>
      <c r="G13" s="52">
        <f>IF(I11=0,0,1/I11)</f>
        <v>0</v>
      </c>
      <c r="H13" s="52">
        <f>IF(I12=0,0,1/I12)</f>
        <v>0</v>
      </c>
      <c r="I13" s="53">
        <v>1</v>
      </c>
      <c r="J13" s="42"/>
      <c r="K13" s="42"/>
      <c r="L13" s="42"/>
      <c r="M13" s="42"/>
      <c r="N13" s="43"/>
      <c r="O13" s="43"/>
      <c r="P13" s="43"/>
      <c r="Q13" s="42"/>
      <c r="R13" s="42"/>
      <c r="S13" s="42"/>
      <c r="T13" s="42"/>
      <c r="U13" s="42"/>
      <c r="V13" s="42"/>
      <c r="W13" s="42"/>
      <c r="X13" s="42"/>
      <c r="Y13" s="42"/>
      <c r="Z13" s="42"/>
      <c r="AA13" s="42"/>
      <c r="AB13" s="42"/>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row>
    <row r="14" spans="1:55" x14ac:dyDescent="0.25">
      <c r="A14" s="49"/>
      <c r="B14" s="52">
        <f>IF(J6=0,0,1/J6)</f>
        <v>0</v>
      </c>
      <c r="C14" s="52">
        <f>IF(J7=0,0,1/J7)</f>
        <v>0</v>
      </c>
      <c r="D14" s="52">
        <f>IF(J8=0,0,1/J8)</f>
        <v>0</v>
      </c>
      <c r="E14" s="52">
        <f>IF(J9=0,0,1/J9)</f>
        <v>0</v>
      </c>
      <c r="F14" s="52">
        <f>IF(J10=0,0,1/J10)</f>
        <v>0</v>
      </c>
      <c r="G14" s="52">
        <f>IF(J11=0,0,1/J11)</f>
        <v>0</v>
      </c>
      <c r="H14" s="52">
        <f>IF(J12=0,0,1/J12)</f>
        <v>0</v>
      </c>
      <c r="I14" s="52">
        <f>IF(J13=0,0,1/J13)</f>
        <v>0</v>
      </c>
      <c r="J14" s="53">
        <v>1</v>
      </c>
      <c r="K14" s="42"/>
      <c r="L14" s="42"/>
      <c r="M14" s="42"/>
      <c r="N14" s="42"/>
      <c r="O14" s="42"/>
      <c r="P14" s="42"/>
      <c r="Q14" s="42"/>
      <c r="R14" s="42"/>
      <c r="S14" s="42"/>
      <c r="T14" s="42"/>
      <c r="U14" s="42"/>
      <c r="V14" s="42"/>
      <c r="W14" s="42"/>
      <c r="X14" s="42"/>
      <c r="Y14" s="42"/>
      <c r="Z14" s="42"/>
      <c r="AA14" s="42"/>
      <c r="AB14" s="42"/>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row>
    <row r="15" spans="1:55" x14ac:dyDescent="0.25">
      <c r="A15" s="49"/>
      <c r="B15" s="52">
        <f>IF(K6=0,0,1/K6)</f>
        <v>0</v>
      </c>
      <c r="C15" s="52">
        <f>IF(K7=0,0,1/K7)</f>
        <v>0</v>
      </c>
      <c r="D15" s="52">
        <f>IF(K8=0,0,1/K8)</f>
        <v>0</v>
      </c>
      <c r="E15" s="52">
        <f>IF(K9=0,0,1/K9)</f>
        <v>0</v>
      </c>
      <c r="F15" s="52">
        <f>IF(K10=0,0,1/K10)</f>
        <v>0</v>
      </c>
      <c r="G15" s="52">
        <f>IF(K11=0,0,1/K11)</f>
        <v>0</v>
      </c>
      <c r="H15" s="52">
        <f>IF(K12=0,0,1/K12)</f>
        <v>0</v>
      </c>
      <c r="I15" s="52">
        <f>IF(K13=0,0,1/K13)</f>
        <v>0</v>
      </c>
      <c r="J15" s="52">
        <f>IF(K14=0,0,1/K14)</f>
        <v>0</v>
      </c>
      <c r="K15" s="53">
        <v>1</v>
      </c>
      <c r="L15" s="42"/>
      <c r="M15" s="42"/>
      <c r="N15" s="42"/>
      <c r="O15" s="42"/>
      <c r="P15" s="42"/>
      <c r="Q15" s="42"/>
      <c r="R15" s="42"/>
      <c r="S15" s="42"/>
      <c r="T15" s="42"/>
      <c r="U15" s="42"/>
      <c r="V15" s="42"/>
      <c r="W15" s="42"/>
      <c r="X15" s="42"/>
      <c r="Y15" s="42"/>
      <c r="Z15" s="42"/>
      <c r="AA15" s="42"/>
      <c r="AB15" s="42"/>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row>
    <row r="16" spans="1:55" x14ac:dyDescent="0.25">
      <c r="A16" s="49"/>
      <c r="B16" s="52">
        <f>IF(L6=0,0,1/L6)</f>
        <v>0</v>
      </c>
      <c r="C16" s="52">
        <f>IF(L7=0,0,1/L7)</f>
        <v>0</v>
      </c>
      <c r="D16" s="52">
        <f>IF(L8=0,0,1/L8)</f>
        <v>0</v>
      </c>
      <c r="E16" s="52">
        <f>IF(L9=0,0,1/L9)</f>
        <v>0</v>
      </c>
      <c r="F16" s="52">
        <f>IF(L10=0,0,1/L10)</f>
        <v>0</v>
      </c>
      <c r="G16" s="52">
        <f>IF(L11=0,0,1/L11)</f>
        <v>0</v>
      </c>
      <c r="H16" s="52">
        <f>IF(L12=0,0,1/L12)</f>
        <v>0</v>
      </c>
      <c r="I16" s="52">
        <f>IF(L13=0,0,1/L13)</f>
        <v>0</v>
      </c>
      <c r="J16" s="52">
        <f>IF(L14=0,0,1/L14)</f>
        <v>0</v>
      </c>
      <c r="K16" s="52">
        <f>IF(L15=0,0,1/L15)</f>
        <v>0</v>
      </c>
      <c r="L16" s="53">
        <v>1</v>
      </c>
      <c r="M16" s="42"/>
      <c r="N16" s="42"/>
      <c r="O16" s="42"/>
      <c r="P16" s="42"/>
      <c r="Q16" s="42"/>
      <c r="R16" s="42"/>
      <c r="S16" s="42"/>
      <c r="T16" s="42"/>
      <c r="U16" s="42"/>
      <c r="V16" s="42"/>
      <c r="W16" s="42"/>
      <c r="X16" s="42"/>
      <c r="Y16" s="42"/>
      <c r="Z16" s="42"/>
      <c r="AA16" s="42"/>
      <c r="AB16" s="42"/>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row>
    <row r="17" spans="1:55" x14ac:dyDescent="0.25">
      <c r="A17" s="49"/>
      <c r="B17" s="52">
        <f>IF(M6=0,0,1/M6)</f>
        <v>0</v>
      </c>
      <c r="C17" s="52">
        <f>IF(M7=0,0,1/M7)</f>
        <v>0</v>
      </c>
      <c r="D17" s="52">
        <f>IF(M8=0,0,1/M8)</f>
        <v>0</v>
      </c>
      <c r="E17" s="52">
        <f>IF(M9=0,0,1/M9)</f>
        <v>0</v>
      </c>
      <c r="F17" s="52">
        <f>IF(M10=0,0,1/M10)</f>
        <v>0</v>
      </c>
      <c r="G17" s="52">
        <f>IF(M11=0,0,1/M11)</f>
        <v>0</v>
      </c>
      <c r="H17" s="52">
        <f>IF(M12=0,0,1/M12)</f>
        <v>0</v>
      </c>
      <c r="I17" s="52">
        <f>IF(M13=0,0,1/M13)</f>
        <v>0</v>
      </c>
      <c r="J17" s="52">
        <f>IF(M14=0,0,1/M14)</f>
        <v>0</v>
      </c>
      <c r="K17" s="52">
        <f>IF(M15=0,0,1/M15)</f>
        <v>0</v>
      </c>
      <c r="L17" s="52">
        <f>IF(M16=0,0,1/M16)</f>
        <v>0</v>
      </c>
      <c r="M17" s="53">
        <v>1</v>
      </c>
      <c r="N17" s="42"/>
      <c r="O17" s="42"/>
      <c r="P17" s="42"/>
      <c r="Q17" s="42"/>
      <c r="R17" s="42"/>
      <c r="S17" s="42"/>
      <c r="T17" s="42"/>
      <c r="U17" s="42"/>
      <c r="V17" s="42"/>
      <c r="W17" s="42"/>
      <c r="X17" s="42"/>
      <c r="Y17" s="42"/>
      <c r="Z17" s="42"/>
      <c r="AA17" s="42"/>
      <c r="AB17" s="42"/>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row>
    <row r="18" spans="1:55" x14ac:dyDescent="0.25">
      <c r="A18" s="49"/>
      <c r="B18" s="52">
        <f>IF(N6=0,0,1/N6)</f>
        <v>0</v>
      </c>
      <c r="C18" s="52">
        <f>IF(N7=0,0,1/N7)</f>
        <v>0</v>
      </c>
      <c r="D18" s="52">
        <f>IF(N8=0,0,1/N8)</f>
        <v>0</v>
      </c>
      <c r="E18" s="52">
        <f>IF(N9=0,0,1/N9)</f>
        <v>0</v>
      </c>
      <c r="F18" s="52">
        <f>IF(N10=0,0,1/N10)</f>
        <v>0</v>
      </c>
      <c r="G18" s="52">
        <f>IF(N11=0,0,1/N11)</f>
        <v>0</v>
      </c>
      <c r="H18" s="52">
        <f>IF(N12=0,0,1/N12)</f>
        <v>0</v>
      </c>
      <c r="I18" s="52">
        <f>IF(N13=0,0,1/N13)</f>
        <v>0</v>
      </c>
      <c r="J18" s="52">
        <f>IF(N14=0,0,1/N14)</f>
        <v>0</v>
      </c>
      <c r="K18" s="52">
        <f>IF(N15=0,0,1/N15)</f>
        <v>0</v>
      </c>
      <c r="L18" s="52">
        <f>IF(N16=0,0,1/N16)</f>
        <v>0</v>
      </c>
      <c r="M18" s="52">
        <f>IF(N17=0,0,1/N17)</f>
        <v>0</v>
      </c>
      <c r="N18" s="53">
        <v>1</v>
      </c>
      <c r="O18" s="42"/>
      <c r="P18" s="42"/>
      <c r="Q18" s="42"/>
      <c r="R18" s="42"/>
      <c r="S18" s="42"/>
      <c r="T18" s="42"/>
      <c r="U18" s="42"/>
      <c r="V18" s="42"/>
      <c r="W18" s="42"/>
      <c r="X18" s="42"/>
      <c r="Y18" s="42"/>
      <c r="Z18" s="42"/>
      <c r="AA18" s="42"/>
      <c r="AB18" s="42"/>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row>
    <row r="19" spans="1:55" x14ac:dyDescent="0.25">
      <c r="A19" s="49"/>
      <c r="B19" s="52">
        <f>IF(O6=0,0,1/O6)</f>
        <v>0</v>
      </c>
      <c r="C19" s="52">
        <f>IF(O7=0,0,1/O7)</f>
        <v>0</v>
      </c>
      <c r="D19" s="52">
        <f>IF(O8=0,0,1/O8)</f>
        <v>0</v>
      </c>
      <c r="E19" s="52">
        <f>IF(O9=0,0,1/O9)</f>
        <v>0</v>
      </c>
      <c r="F19" s="52">
        <f>IF(O10=0,0,1/O10)</f>
        <v>0</v>
      </c>
      <c r="G19" s="52">
        <f>IF(O11=0,0,1/O11)</f>
        <v>0</v>
      </c>
      <c r="H19" s="52">
        <f>IF(O12=0,0,1/O12)</f>
        <v>0</v>
      </c>
      <c r="I19" s="52">
        <f>IF(O13=0,0,1/O13)</f>
        <v>0</v>
      </c>
      <c r="J19" s="52">
        <f>IF(O14=0,0,1/O14)</f>
        <v>0</v>
      </c>
      <c r="K19" s="52">
        <f>IF(O15=0,0,1/O15)</f>
        <v>0</v>
      </c>
      <c r="L19" s="52">
        <f>IF(O16=0,0,1/O16)</f>
        <v>0</v>
      </c>
      <c r="M19" s="52">
        <f>IF(O17=0,0,1/O17)</f>
        <v>0</v>
      </c>
      <c r="N19" s="52">
        <f>IF(O18=0,0,1/O18)</f>
        <v>0</v>
      </c>
      <c r="O19" s="53">
        <v>1</v>
      </c>
      <c r="P19" s="42"/>
      <c r="Q19" s="42"/>
      <c r="R19" s="42"/>
      <c r="S19" s="42"/>
      <c r="T19" s="42"/>
      <c r="U19" s="42"/>
      <c r="V19" s="42"/>
      <c r="W19" s="42"/>
      <c r="X19" s="42"/>
      <c r="Y19" s="42"/>
      <c r="Z19" s="42"/>
      <c r="AA19" s="42"/>
      <c r="AB19" s="42"/>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row>
    <row r="20" spans="1:55" x14ac:dyDescent="0.25">
      <c r="A20" s="49"/>
      <c r="B20" s="52">
        <f>IF(P6=0,0,1/P6)</f>
        <v>0</v>
      </c>
      <c r="C20" s="52">
        <f>IF(P7=0,0,1/P7)</f>
        <v>0</v>
      </c>
      <c r="D20" s="52">
        <f>IF(P8=0,0,1/P8)</f>
        <v>0</v>
      </c>
      <c r="E20" s="52">
        <f>IF(P9=0,0,1/P9)</f>
        <v>0</v>
      </c>
      <c r="F20" s="52">
        <f>IF(P10=0,0,1/P10)</f>
        <v>0</v>
      </c>
      <c r="G20" s="52">
        <f>IF(P11=0,0,1/P11)</f>
        <v>0</v>
      </c>
      <c r="H20" s="52">
        <f>IF(P12=0,0,1/P12)</f>
        <v>0</v>
      </c>
      <c r="I20" s="52">
        <f>IF(P13=0,0,1/P13)</f>
        <v>0</v>
      </c>
      <c r="J20" s="52">
        <f>IF(P14=0,0,1/P14)</f>
        <v>0</v>
      </c>
      <c r="K20" s="52">
        <f>IF(P15=0,0,1/P15)</f>
        <v>0</v>
      </c>
      <c r="L20" s="52">
        <f>IF(P16=0,0,1/P16)</f>
        <v>0</v>
      </c>
      <c r="M20" s="52">
        <f>IF(P17=0,0,1/P17)</f>
        <v>0</v>
      </c>
      <c r="N20" s="52">
        <f>IF(P18=0,0,1/P18)</f>
        <v>0</v>
      </c>
      <c r="O20" s="52">
        <f>IF(P19=0,0,1/P19)</f>
        <v>0</v>
      </c>
      <c r="P20" s="53">
        <v>1</v>
      </c>
      <c r="Q20" s="42"/>
      <c r="R20" s="42"/>
      <c r="S20" s="42"/>
      <c r="T20" s="42"/>
      <c r="U20" s="42"/>
      <c r="V20" s="42"/>
      <c r="W20" s="42"/>
      <c r="X20" s="42"/>
      <c r="Y20" s="42"/>
      <c r="Z20" s="42"/>
      <c r="AA20" s="42"/>
      <c r="AB20" s="42"/>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row>
    <row r="21" spans="1:55" x14ac:dyDescent="0.25">
      <c r="A21" s="49"/>
      <c r="B21" s="52">
        <f>IF(Q6=0,0,1/Q6)</f>
        <v>0</v>
      </c>
      <c r="C21" s="52">
        <f>IF(Q7=0,0,1/Q7)</f>
        <v>0</v>
      </c>
      <c r="D21" s="52">
        <f>IF(Q8=0,0,1/Q8)</f>
        <v>0</v>
      </c>
      <c r="E21" s="52">
        <f>IF(Q9=0,0,1/Q9)</f>
        <v>0</v>
      </c>
      <c r="F21" s="52">
        <f>IF(Q10=0,0,1/Q10)</f>
        <v>0</v>
      </c>
      <c r="G21" s="52">
        <f>IF(Q11=0,0,1/Q11)</f>
        <v>0</v>
      </c>
      <c r="H21" s="52">
        <f>IF(Q12=0,0,1/Q12)</f>
        <v>0</v>
      </c>
      <c r="I21" s="52">
        <f>IF(Q13=0,0,1/Q13)</f>
        <v>0</v>
      </c>
      <c r="J21" s="52">
        <f>IF(Q14=0,0,1/Q14)</f>
        <v>0</v>
      </c>
      <c r="K21" s="52">
        <f>IF(Q15=0,0,1/Q15)</f>
        <v>0</v>
      </c>
      <c r="L21" s="52">
        <f>IF(Q16=0,0,1/Q16)</f>
        <v>0</v>
      </c>
      <c r="M21" s="52">
        <f>IF(Q17=0,0,1/Q17)</f>
        <v>0</v>
      </c>
      <c r="N21" s="52">
        <f>IF(Q18=0,0,1/Q18)</f>
        <v>0</v>
      </c>
      <c r="O21" s="52">
        <f>IF(Q19=0,0,1/Q19)</f>
        <v>0</v>
      </c>
      <c r="P21" s="52">
        <f>IF(Q20=0,0,1/Q20)</f>
        <v>0</v>
      </c>
      <c r="Q21" s="53">
        <v>1</v>
      </c>
      <c r="R21" s="42"/>
      <c r="S21" s="42"/>
      <c r="T21" s="42"/>
      <c r="U21" s="42"/>
      <c r="V21" s="42"/>
      <c r="W21" s="42"/>
      <c r="X21" s="42"/>
      <c r="Y21" s="42"/>
      <c r="Z21" s="42"/>
      <c r="AA21" s="42"/>
      <c r="AB21" s="42"/>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row>
    <row r="22" spans="1:55" x14ac:dyDescent="0.25">
      <c r="A22" s="49"/>
      <c r="B22" s="52">
        <f>IF(R6=0,0,1/R6)</f>
        <v>0</v>
      </c>
      <c r="C22" s="52">
        <f>IF(R7=0,0,1/R7)</f>
        <v>0</v>
      </c>
      <c r="D22" s="52">
        <f>IF(R8=0,0,1/R8)</f>
        <v>0</v>
      </c>
      <c r="E22" s="52">
        <f>IF(R9=0,0,1/R9)</f>
        <v>0</v>
      </c>
      <c r="F22" s="52">
        <f>IF(R10=0,0,1/R10)</f>
        <v>0</v>
      </c>
      <c r="G22" s="52">
        <f>IF(R11=0,0,1/R11)</f>
        <v>0</v>
      </c>
      <c r="H22" s="52">
        <f>IF(R12=0,0,1/R12)</f>
        <v>0</v>
      </c>
      <c r="I22" s="52">
        <f>IF(R13=0,0,1/R13)</f>
        <v>0</v>
      </c>
      <c r="J22" s="52">
        <f>IF(R14=0,0,1/R14)</f>
        <v>0</v>
      </c>
      <c r="K22" s="52">
        <f>IF(R15=0,0,1/R15)</f>
        <v>0</v>
      </c>
      <c r="L22" s="52">
        <f>IF(R16=0,0,1/R16)</f>
        <v>0</v>
      </c>
      <c r="M22" s="52">
        <f>IF(R17=0,0,1/R17)</f>
        <v>0</v>
      </c>
      <c r="N22" s="52">
        <f>IF(R18=0,0,1/R18)</f>
        <v>0</v>
      </c>
      <c r="O22" s="52">
        <f>IF(R19=0,0,1/R19)</f>
        <v>0</v>
      </c>
      <c r="P22" s="52">
        <f>IF(R20=0,0,1/R20)</f>
        <v>0</v>
      </c>
      <c r="Q22" s="52">
        <f>IF(R21=0,0,1/R21)</f>
        <v>0</v>
      </c>
      <c r="R22" s="53">
        <v>1</v>
      </c>
      <c r="S22" s="42"/>
      <c r="T22" s="42"/>
      <c r="U22" s="42"/>
      <c r="V22" s="42"/>
      <c r="W22" s="42"/>
      <c r="X22" s="42"/>
      <c r="Y22" s="42"/>
      <c r="Z22" s="42"/>
      <c r="AA22" s="42"/>
      <c r="AB22" s="42"/>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row>
    <row r="23" spans="1:55" x14ac:dyDescent="0.25">
      <c r="A23" s="49"/>
      <c r="B23" s="52">
        <f>IF(S6=0,0,1/S6)</f>
        <v>0</v>
      </c>
      <c r="C23" s="52">
        <f>IF(S7=0,0,1/S7)</f>
        <v>0</v>
      </c>
      <c r="D23" s="52">
        <f>IF(S8=0,0,1/S8)</f>
        <v>0</v>
      </c>
      <c r="E23" s="52">
        <f>IF(S9=0,0,1/S9)</f>
        <v>0</v>
      </c>
      <c r="F23" s="52">
        <f>IF(S10=0,0,1/S10)</f>
        <v>0</v>
      </c>
      <c r="G23" s="52">
        <f>IF(S11=0,0,1/S11)</f>
        <v>0</v>
      </c>
      <c r="H23" s="52">
        <f>IF(S12=0,0,1/S12)</f>
        <v>0</v>
      </c>
      <c r="I23" s="52">
        <f>IF(S13=0,0,1/S13)</f>
        <v>0</v>
      </c>
      <c r="J23" s="52">
        <f>IF(S14=0,0,1/S14)</f>
        <v>0</v>
      </c>
      <c r="K23" s="52">
        <f>IF(S15=0,0,1/S15)</f>
        <v>0</v>
      </c>
      <c r="L23" s="52">
        <f>IF(S16=0,0,1/S16)</f>
        <v>0</v>
      </c>
      <c r="M23" s="52">
        <f>IF(S17=0,0,1/S17)</f>
        <v>0</v>
      </c>
      <c r="N23" s="52">
        <f>IF(S18=0,0,1/S18)</f>
        <v>0</v>
      </c>
      <c r="O23" s="52">
        <f>IF(S19=0,0,1/S19)</f>
        <v>0</v>
      </c>
      <c r="P23" s="52">
        <f>IF(S20=0,0,1/S20)</f>
        <v>0</v>
      </c>
      <c r="Q23" s="52">
        <f>IF(S21=0,0,1/S21)</f>
        <v>0</v>
      </c>
      <c r="R23" s="52">
        <f>IF(S22=0,0,1/S22)</f>
        <v>0</v>
      </c>
      <c r="S23" s="53">
        <v>1</v>
      </c>
      <c r="T23" s="42"/>
      <c r="U23" s="42"/>
      <c r="V23" s="42"/>
      <c r="W23" s="42"/>
      <c r="X23" s="42"/>
      <c r="Y23" s="42"/>
      <c r="Z23" s="42"/>
      <c r="AA23" s="42"/>
      <c r="AB23" s="42"/>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row>
    <row r="24" spans="1:55" x14ac:dyDescent="0.25">
      <c r="A24" s="49"/>
      <c r="B24" s="52">
        <f>IF(T6=0,0,1/T6)</f>
        <v>0</v>
      </c>
      <c r="C24" s="52">
        <f>IF(T7=0,0,1/T7)</f>
        <v>0</v>
      </c>
      <c r="D24" s="52">
        <f>IF(T8=0,0,1/T8)</f>
        <v>0</v>
      </c>
      <c r="E24" s="52">
        <f>IF(T9=0,0,1/T9)</f>
        <v>0</v>
      </c>
      <c r="F24" s="52">
        <f>IF(T10=0,0,1/T10)</f>
        <v>0</v>
      </c>
      <c r="G24" s="52">
        <f>IF(T11=0,0,1/T11)</f>
        <v>0</v>
      </c>
      <c r="H24" s="52">
        <f>IF(T12=0,0,1/T12)</f>
        <v>0</v>
      </c>
      <c r="I24" s="52">
        <f>IF(T13=0,0,1/T13)</f>
        <v>0</v>
      </c>
      <c r="J24" s="52">
        <f>IF(T14=0,0,1/T14)</f>
        <v>0</v>
      </c>
      <c r="K24" s="52">
        <f>IF(T15=0,0,1/T15)</f>
        <v>0</v>
      </c>
      <c r="L24" s="52">
        <f>IF(T16=0,0,1/T16)</f>
        <v>0</v>
      </c>
      <c r="M24" s="52">
        <f>IF(T17=0,0,1/T17)</f>
        <v>0</v>
      </c>
      <c r="N24" s="52">
        <f>IF(T18=0,0,1/T18)</f>
        <v>0</v>
      </c>
      <c r="O24" s="52">
        <f>IF(T19=0,0,1/T19)</f>
        <v>0</v>
      </c>
      <c r="P24" s="52">
        <f>IF(T20=0,0,1/T20)</f>
        <v>0</v>
      </c>
      <c r="Q24" s="52">
        <f>IF(T21=0,0,1/T21)</f>
        <v>0</v>
      </c>
      <c r="R24" s="52">
        <f>IF(T22=0,0,1/T22)</f>
        <v>0</v>
      </c>
      <c r="S24" s="52">
        <f>IF(T23=0,0,1/T23)</f>
        <v>0</v>
      </c>
      <c r="T24" s="53">
        <v>1</v>
      </c>
      <c r="U24" s="42"/>
      <c r="V24" s="42"/>
      <c r="W24" s="42"/>
      <c r="X24" s="42"/>
      <c r="Y24" s="42"/>
      <c r="Z24" s="42"/>
      <c r="AA24" s="42"/>
      <c r="AB24" s="42"/>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row>
    <row r="25" spans="1:55" x14ac:dyDescent="0.25">
      <c r="A25" s="49"/>
      <c r="B25" s="52">
        <f>IF(U6=0,0,1/U6)</f>
        <v>0</v>
      </c>
      <c r="C25" s="52">
        <f>IF(U7=0,0,1/U7)</f>
        <v>0</v>
      </c>
      <c r="D25" s="52">
        <f>IF(U8=0,0,1/U8)</f>
        <v>0</v>
      </c>
      <c r="E25" s="52">
        <f>IF(U9=0,0,1/U9)</f>
        <v>0</v>
      </c>
      <c r="F25" s="52">
        <f>IF(U10=0,0,1/U10)</f>
        <v>0</v>
      </c>
      <c r="G25" s="52">
        <f>IF(U11=0,0,1/U11)</f>
        <v>0</v>
      </c>
      <c r="H25" s="52">
        <f>IF(U12=0,0,1/U12)</f>
        <v>0</v>
      </c>
      <c r="I25" s="52">
        <f>IF(U13=0,0,1/U13)</f>
        <v>0</v>
      </c>
      <c r="J25" s="52">
        <f>IF(U14=0,0,1/U14)</f>
        <v>0</v>
      </c>
      <c r="K25" s="52">
        <f>IF(U15=0,0,1/U15)</f>
        <v>0</v>
      </c>
      <c r="L25" s="52">
        <f>IF(U16=0,0,1/U16)</f>
        <v>0</v>
      </c>
      <c r="M25" s="52">
        <f>IF(U17=0,0,1/U17)</f>
        <v>0</v>
      </c>
      <c r="N25" s="52">
        <f>IF(U18=0,0,1/U18)</f>
        <v>0</v>
      </c>
      <c r="O25" s="52">
        <f>IF(U19=0,0,1/U19)</f>
        <v>0</v>
      </c>
      <c r="P25" s="52">
        <f>IF(U20=0,0,1/U20)</f>
        <v>0</v>
      </c>
      <c r="Q25" s="52">
        <f>IF(U21=0,0,1/U21)</f>
        <v>0</v>
      </c>
      <c r="R25" s="52">
        <f>IF(U22=0,0,1/U22)</f>
        <v>0</v>
      </c>
      <c r="S25" s="52">
        <f>IF(U23=0,0,1/U23)</f>
        <v>0</v>
      </c>
      <c r="T25" s="52">
        <f>IF(U24=0,0,1/U24)</f>
        <v>0</v>
      </c>
      <c r="U25" s="53">
        <v>1</v>
      </c>
      <c r="V25" s="42"/>
      <c r="W25" s="42"/>
      <c r="X25" s="42"/>
      <c r="Y25" s="42"/>
      <c r="Z25" s="42"/>
      <c r="AA25" s="42"/>
      <c r="AB25" s="42"/>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row>
    <row r="26" spans="1:55" x14ac:dyDescent="0.25">
      <c r="A26" s="49"/>
      <c r="B26" s="52">
        <f>IF(V6=0,0,1/V6)</f>
        <v>0</v>
      </c>
      <c r="C26" s="52">
        <f>IF(V7=0,0,1/V7)</f>
        <v>0</v>
      </c>
      <c r="D26" s="52">
        <f>IF(V8=0,0,1/V8)</f>
        <v>0</v>
      </c>
      <c r="E26" s="52">
        <f>IF(V9=0,0,1/V9)</f>
        <v>0</v>
      </c>
      <c r="F26" s="52">
        <f>IF(V10=0,0,1/V10)</f>
        <v>0</v>
      </c>
      <c r="G26" s="52">
        <f>IF(V11=0,0,1/V11)</f>
        <v>0</v>
      </c>
      <c r="H26" s="52">
        <f>IF(V12=0,0,1/V12)</f>
        <v>0</v>
      </c>
      <c r="I26" s="52">
        <f>IF(V13=0,0,1/V13)</f>
        <v>0</v>
      </c>
      <c r="J26" s="52">
        <f>IF(V14=0,0,1/V14)</f>
        <v>0</v>
      </c>
      <c r="K26" s="52">
        <f>IF(V15=0,0,1/V15)</f>
        <v>0</v>
      </c>
      <c r="L26" s="52">
        <f>IF(V16=0,0,1/V16)</f>
        <v>0</v>
      </c>
      <c r="M26" s="52">
        <f>IF(V17=0,0,1/V17)</f>
        <v>0</v>
      </c>
      <c r="N26" s="52">
        <f>IF(V18=0,0,1/V18)</f>
        <v>0</v>
      </c>
      <c r="O26" s="52">
        <f>IF(V19=0,0,1/V19)</f>
        <v>0</v>
      </c>
      <c r="P26" s="52">
        <f>IF(V20=0,0,1/V20)</f>
        <v>0</v>
      </c>
      <c r="Q26" s="52">
        <f>IF(V21=0,0,1/V21)</f>
        <v>0</v>
      </c>
      <c r="R26" s="52">
        <f>IF(V22=0,0,1/V22)</f>
        <v>0</v>
      </c>
      <c r="S26" s="52">
        <f>IF(V23=0,0,1/V23)</f>
        <v>0</v>
      </c>
      <c r="T26" s="52">
        <f>IF(V24=0,0,1/V24)</f>
        <v>0</v>
      </c>
      <c r="U26" s="52">
        <f>IF(V25=0,0,1/V25)</f>
        <v>0</v>
      </c>
      <c r="V26" s="53">
        <v>1</v>
      </c>
      <c r="W26" s="42"/>
      <c r="X26" s="42"/>
      <c r="Y26" s="42"/>
      <c r="Z26" s="42"/>
      <c r="AA26" s="42"/>
      <c r="AB26" s="42"/>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row>
    <row r="27" spans="1:55" x14ac:dyDescent="0.25">
      <c r="A27" s="49"/>
      <c r="B27" s="52">
        <f>IF(W6=0,0,1/W6)</f>
        <v>0</v>
      </c>
      <c r="C27" s="52">
        <f>IF(W7=0,0,1/W7)</f>
        <v>0</v>
      </c>
      <c r="D27" s="52">
        <f>IF(W8=0,0,1/W8)</f>
        <v>0</v>
      </c>
      <c r="E27" s="52">
        <f>IF(W9=0,0,1/W9)</f>
        <v>0</v>
      </c>
      <c r="F27" s="52">
        <f>IF(W10=0,0,1/W10)</f>
        <v>0</v>
      </c>
      <c r="G27" s="52">
        <f>IF(W11=0,0,1/W11)</f>
        <v>0</v>
      </c>
      <c r="H27" s="52">
        <f>IF(W12=0,0,1/W12)</f>
        <v>0</v>
      </c>
      <c r="I27" s="52">
        <f>IF(W13=0,0,1/W13)</f>
        <v>0</v>
      </c>
      <c r="J27" s="52">
        <f>IF(W14=0,0,1/W14)</f>
        <v>0</v>
      </c>
      <c r="K27" s="52">
        <f>IF(W15=0,0,1/W15)</f>
        <v>0</v>
      </c>
      <c r="L27" s="52">
        <f>IF(W16=0,0,1/W16)</f>
        <v>0</v>
      </c>
      <c r="M27" s="52">
        <f>IF(W17=0,0,1/W17)</f>
        <v>0</v>
      </c>
      <c r="N27" s="52">
        <f>IF(W18=0,0,1/W18)</f>
        <v>0</v>
      </c>
      <c r="O27" s="52">
        <f>IF(W19=0,0,1/W19)</f>
        <v>0</v>
      </c>
      <c r="P27" s="52">
        <f>IF(W20=0,0,1/W20)</f>
        <v>0</v>
      </c>
      <c r="Q27" s="52">
        <f>IF(W21=0,0,1/W21)</f>
        <v>0</v>
      </c>
      <c r="R27" s="52">
        <f>IF(W22=0,0,1/W22)</f>
        <v>0</v>
      </c>
      <c r="S27" s="52">
        <f>IF(W23=0,0,1/W23)</f>
        <v>0</v>
      </c>
      <c r="T27" s="52">
        <f>IF(W24=0,0,1/W24)</f>
        <v>0</v>
      </c>
      <c r="U27" s="52">
        <f>IF(W25=0,0,1/W25)</f>
        <v>0</v>
      </c>
      <c r="V27" s="52">
        <f>IF(W26=0,0,1/W26)</f>
        <v>0</v>
      </c>
      <c r="W27" s="53">
        <v>1</v>
      </c>
      <c r="X27" s="42"/>
      <c r="Y27" s="42"/>
      <c r="Z27" s="42"/>
      <c r="AA27" s="42"/>
      <c r="AB27" s="42"/>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row>
    <row r="28" spans="1:55" x14ac:dyDescent="0.25">
      <c r="A28" s="49"/>
      <c r="B28" s="52">
        <f>IF(X6=0,0,1/X6)</f>
        <v>0</v>
      </c>
      <c r="C28" s="52">
        <f>IF(X7=0,0,1/X7)</f>
        <v>0</v>
      </c>
      <c r="D28" s="52">
        <f>IF(X8=0,0,1/X8)</f>
        <v>0</v>
      </c>
      <c r="E28" s="52">
        <f>IF(X9=0,0,1/X9)</f>
        <v>0</v>
      </c>
      <c r="F28" s="52">
        <f>IF(X10=0,0,1/X10)</f>
        <v>0</v>
      </c>
      <c r="G28" s="52">
        <f>IF(X11=0,0,1/X11)</f>
        <v>0</v>
      </c>
      <c r="H28" s="52">
        <f>IF(X12=0,0,1/X12)</f>
        <v>0</v>
      </c>
      <c r="I28" s="52">
        <f>IF(X13=0,0,1/X13)</f>
        <v>0</v>
      </c>
      <c r="J28" s="52">
        <f>IF(X14=0,0,1/X14)</f>
        <v>0</v>
      </c>
      <c r="K28" s="52">
        <f>IF(X15=0,0,1/X15)</f>
        <v>0</v>
      </c>
      <c r="L28" s="52">
        <f>IF(X16=0,0,1/X16)</f>
        <v>0</v>
      </c>
      <c r="M28" s="52">
        <f>IF(X17=0,0,1/X17)</f>
        <v>0</v>
      </c>
      <c r="N28" s="52">
        <f>IF(X18=0,0,1/X18)</f>
        <v>0</v>
      </c>
      <c r="O28" s="52">
        <f>IF(X19=0,0,1/X19)</f>
        <v>0</v>
      </c>
      <c r="P28" s="52">
        <f>IF(X20=0,0,1/X20)</f>
        <v>0</v>
      </c>
      <c r="Q28" s="52">
        <f>IF(X21=0,0,1/X21)</f>
        <v>0</v>
      </c>
      <c r="R28" s="52">
        <f>IF(X22=0,0,1/X22)</f>
        <v>0</v>
      </c>
      <c r="S28" s="52">
        <f>IF(X23=0,0,1/X23)</f>
        <v>0</v>
      </c>
      <c r="T28" s="52">
        <f>IF(X24=0,0,1/X24)</f>
        <v>0</v>
      </c>
      <c r="U28" s="52">
        <f>IF(X25=0,0,1/X25)</f>
        <v>0</v>
      </c>
      <c r="V28" s="52">
        <f>IF(X26=0,0,1/X26)</f>
        <v>0</v>
      </c>
      <c r="W28" s="52">
        <f>IF(X27=0,0,1/X27)</f>
        <v>0</v>
      </c>
      <c r="X28" s="53">
        <v>1</v>
      </c>
      <c r="Y28" s="42"/>
      <c r="Z28" s="42"/>
      <c r="AA28" s="42"/>
      <c r="AB28" s="42"/>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row>
    <row r="29" spans="1:55" x14ac:dyDescent="0.25">
      <c r="A29" s="49"/>
      <c r="B29" s="52">
        <f>IF(Y6=0,0,1/Y6)</f>
        <v>0</v>
      </c>
      <c r="C29" s="52">
        <f>IF(Y7=0,0,1/Y7)</f>
        <v>0</v>
      </c>
      <c r="D29" s="52">
        <f>IF(Y8=0,0,1/Y8)</f>
        <v>0</v>
      </c>
      <c r="E29" s="52">
        <f>IF(Y9=0,0,1/Y9)</f>
        <v>0</v>
      </c>
      <c r="F29" s="52">
        <f>IF(Y10=0,0,1/Y10)</f>
        <v>0</v>
      </c>
      <c r="G29" s="52">
        <f>IF(Y11=0,0,1/Y11)</f>
        <v>0</v>
      </c>
      <c r="H29" s="52">
        <f>IF(Y12=0,0,1/Y12)</f>
        <v>0</v>
      </c>
      <c r="I29" s="52">
        <f>IF(Y13=0,0,1/Y13)</f>
        <v>0</v>
      </c>
      <c r="J29" s="52">
        <f>IF(Y14=0,0,1/Y14)</f>
        <v>0</v>
      </c>
      <c r="K29" s="52">
        <f>IF(Y15=0,0,1/Y15)</f>
        <v>0</v>
      </c>
      <c r="L29" s="52">
        <f>IF(Y16=0,0,1/Y16)</f>
        <v>0</v>
      </c>
      <c r="M29" s="52">
        <f>IF(Y17=0,0,1/Y17)</f>
        <v>0</v>
      </c>
      <c r="N29" s="52">
        <f>IF(Y18=0,0,1/Y18)</f>
        <v>0</v>
      </c>
      <c r="O29" s="52">
        <f>IF(Y19=0,0,1/Y19)</f>
        <v>0</v>
      </c>
      <c r="P29" s="52">
        <f>IF(Y20=0,0,1/Y20)</f>
        <v>0</v>
      </c>
      <c r="Q29" s="52">
        <f>IF(Y21=0,0,1/Y21)</f>
        <v>0</v>
      </c>
      <c r="R29" s="52">
        <f>IF(Y22=0,0,1/Y22)</f>
        <v>0</v>
      </c>
      <c r="S29" s="52">
        <f>IF(Y23=0,0,1/Y23)</f>
        <v>0</v>
      </c>
      <c r="T29" s="52">
        <f>IF(Y24=0,0,1/Y24)</f>
        <v>0</v>
      </c>
      <c r="U29" s="52">
        <f>IF(Y25=0,0,1/Y25)</f>
        <v>0</v>
      </c>
      <c r="V29" s="52">
        <f>IF(Y26=0,0,1/Y26)</f>
        <v>0</v>
      </c>
      <c r="W29" s="52">
        <f>IF(Y27=0,0,1/Y27)</f>
        <v>0</v>
      </c>
      <c r="X29" s="52">
        <f>IF(Y28=0,0,1/Y28)</f>
        <v>0</v>
      </c>
      <c r="Y29" s="53">
        <v>1</v>
      </c>
      <c r="Z29" s="42"/>
      <c r="AA29" s="42"/>
      <c r="AB29" s="42"/>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row>
    <row r="30" spans="1:55" x14ac:dyDescent="0.25">
      <c r="A30" s="49"/>
      <c r="B30" s="52">
        <f>IF(Z6=0,0,1/Z6)</f>
        <v>0</v>
      </c>
      <c r="C30" s="52">
        <f>IF(Z7=0,0,1/Z7)</f>
        <v>0</v>
      </c>
      <c r="D30" s="52">
        <f>IF(Z8=0,0,1/Z8)</f>
        <v>0</v>
      </c>
      <c r="E30" s="52">
        <f>IF(Z9=0,0,1/Z9)</f>
        <v>0</v>
      </c>
      <c r="F30" s="52">
        <f>IF(Z10=0,0,1/Z10)</f>
        <v>0</v>
      </c>
      <c r="G30" s="52">
        <f>IF(Z11=0,0,1/Z11)</f>
        <v>0</v>
      </c>
      <c r="H30" s="52">
        <f>IF(Z12=0,0,1/Z12)</f>
        <v>0</v>
      </c>
      <c r="I30" s="52">
        <f>IF(Z13=0,0,1/Z13)</f>
        <v>0</v>
      </c>
      <c r="J30" s="52">
        <f>IF(Z14=0,0,1/Z14)</f>
        <v>0</v>
      </c>
      <c r="K30" s="52">
        <f>IF(Z15=0,0,1/Z15)</f>
        <v>0</v>
      </c>
      <c r="L30" s="52">
        <f>IF(Z16=0,0,1/Z16)</f>
        <v>0</v>
      </c>
      <c r="M30" s="52">
        <f>IF(Z17=0,0,1/Z17)</f>
        <v>0</v>
      </c>
      <c r="N30" s="52">
        <f>IF(Z18=0,0,1/Z18)</f>
        <v>0</v>
      </c>
      <c r="O30" s="52">
        <f>IF(Z19=0,0,1/Z19)</f>
        <v>0</v>
      </c>
      <c r="P30" s="52">
        <f>IF(Z20=0,0,1/Z20)</f>
        <v>0</v>
      </c>
      <c r="Q30" s="52">
        <f>IF(Z21=0,0,1/Z21)</f>
        <v>0</v>
      </c>
      <c r="R30" s="52">
        <f>IF(Z22=0,0,1/Z22)</f>
        <v>0</v>
      </c>
      <c r="S30" s="52">
        <f>IF(Z23=0,0,1/Z23)</f>
        <v>0</v>
      </c>
      <c r="T30" s="52">
        <f>IF(Z24=0,0,1/Z24)</f>
        <v>0</v>
      </c>
      <c r="U30" s="52">
        <f>IF(Z25=0,0,1/Z25)</f>
        <v>0</v>
      </c>
      <c r="V30" s="52">
        <f>IF(Z26=0,0,1/Z26)</f>
        <v>0</v>
      </c>
      <c r="W30" s="52">
        <f>IF(Z27=0,0,1/Z27)</f>
        <v>0</v>
      </c>
      <c r="X30" s="52">
        <f>IF(Z28=0,0,1/Z28)</f>
        <v>0</v>
      </c>
      <c r="Y30" s="52">
        <f>IF(Z29=0,0,1/Z29)</f>
        <v>0</v>
      </c>
      <c r="Z30" s="53">
        <v>1</v>
      </c>
      <c r="AA30" s="42"/>
      <c r="AB30" s="42"/>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row>
    <row r="31" spans="1:55" x14ac:dyDescent="0.25">
      <c r="A31" s="49"/>
      <c r="B31" s="52">
        <f>IF(AA6=0,0,1/AA6)</f>
        <v>0</v>
      </c>
      <c r="C31" s="52">
        <f>IF(AA7=0,0,1/AA7)</f>
        <v>0</v>
      </c>
      <c r="D31" s="52">
        <f>IF(AA8=0,0,1/AA8)</f>
        <v>0</v>
      </c>
      <c r="E31" s="52">
        <f>IF(AA9=0,0,1/AA9)</f>
        <v>0</v>
      </c>
      <c r="F31" s="52">
        <f>IF(AA10=0,0,1/AA10)</f>
        <v>0</v>
      </c>
      <c r="G31" s="52">
        <f>IF(AA11=0,0,1/AA11)</f>
        <v>0</v>
      </c>
      <c r="H31" s="52">
        <f>IF(AA12=0,0,1/AA12)</f>
        <v>0</v>
      </c>
      <c r="I31" s="52">
        <f>IF(AA13=0,0,1/AA13)</f>
        <v>0</v>
      </c>
      <c r="J31" s="52">
        <f>IF(AA14=0,0,1/AA14)</f>
        <v>0</v>
      </c>
      <c r="K31" s="52">
        <f>IF(AA15=0,0,1/AA15)</f>
        <v>0</v>
      </c>
      <c r="L31" s="52">
        <f>IF(AA16=0,0,1/AA16)</f>
        <v>0</v>
      </c>
      <c r="M31" s="52">
        <f>IF(AA17=0,0,1/AA17)</f>
        <v>0</v>
      </c>
      <c r="N31" s="52">
        <f>IF(AA18=0,0,1/AA18)</f>
        <v>0</v>
      </c>
      <c r="O31" s="52">
        <f>IF(AA19=0,0,1/AA19)</f>
        <v>0</v>
      </c>
      <c r="P31" s="52">
        <f>IF(AA20=0,0,1/AA20)</f>
        <v>0</v>
      </c>
      <c r="Q31" s="52">
        <f>IF(AA21=0,0,1/AA21)</f>
        <v>0</v>
      </c>
      <c r="R31" s="52">
        <f>IF(AA22=0,0,1/AA22)</f>
        <v>0</v>
      </c>
      <c r="S31" s="52">
        <f>IF(AA23=0,0,1/AA23)</f>
        <v>0</v>
      </c>
      <c r="T31" s="52">
        <f>IF(AA24=0,0,1/AA24)</f>
        <v>0</v>
      </c>
      <c r="U31" s="52">
        <f>IF(AA25=0,0,1/AA25)</f>
        <v>0</v>
      </c>
      <c r="V31" s="52">
        <f>IF(AA26=0,0,1/AA26)</f>
        <v>0</v>
      </c>
      <c r="W31" s="52">
        <f>IF(AA27=0,0,1/AA27)</f>
        <v>0</v>
      </c>
      <c r="X31" s="52">
        <f>IF(AA28=0,0,1/AA28)</f>
        <v>0</v>
      </c>
      <c r="Y31" s="52">
        <f>IF(AA29=0,0,1/AA29)</f>
        <v>0</v>
      </c>
      <c r="Z31" s="52">
        <f>IF(AA30=0,0,1/AA30)</f>
        <v>0</v>
      </c>
      <c r="AA31" s="53">
        <v>1</v>
      </c>
      <c r="AB31" s="42"/>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row>
    <row r="32" spans="1:55" x14ac:dyDescent="0.25">
      <c r="A32" s="49"/>
      <c r="B32" s="52">
        <f>IF(AB6=0,0,1/AB6)</f>
        <v>0</v>
      </c>
      <c r="C32" s="52">
        <f>IF(AB7=0,0,1/AB7)</f>
        <v>0</v>
      </c>
      <c r="D32" s="52">
        <f>IF(AB8=0,0,1/AB8)</f>
        <v>0</v>
      </c>
      <c r="E32" s="52">
        <f>IF(AB9=0,0,1/AB9)</f>
        <v>0</v>
      </c>
      <c r="F32" s="52">
        <f>IF(AB10=0,0,1/AB10)</f>
        <v>0</v>
      </c>
      <c r="G32" s="52">
        <f>IF(AB11=0,0,1/AB11)</f>
        <v>0</v>
      </c>
      <c r="H32" s="52">
        <f>IF(AB12=0,0,1/AB12)</f>
        <v>0</v>
      </c>
      <c r="I32" s="52">
        <f>IF(AB13=0,0,1/AB13)</f>
        <v>0</v>
      </c>
      <c r="J32" s="52">
        <f>IF(AB14=0,0,1/AB14)</f>
        <v>0</v>
      </c>
      <c r="K32" s="52">
        <f>IF(AB15=0,0,1/AB15)</f>
        <v>0</v>
      </c>
      <c r="L32" s="52">
        <f>IF(AB16=0,0,1/AB16)</f>
        <v>0</v>
      </c>
      <c r="M32" s="52">
        <f>IF(AB17=0,0,1/AB17)</f>
        <v>0</v>
      </c>
      <c r="N32" s="52">
        <f>IF(AB18=0,0,1/AB18)</f>
        <v>0</v>
      </c>
      <c r="O32" s="52">
        <f>IF(AB19=0,0,1/AB19)</f>
        <v>0</v>
      </c>
      <c r="P32" s="52">
        <f>IF(AB20=0,0,1/AB20)</f>
        <v>0</v>
      </c>
      <c r="Q32" s="52">
        <f>IF(AB21=0,0,1/AB21)</f>
        <v>0</v>
      </c>
      <c r="R32" s="52">
        <f>IF(AB22=0,0,1/AB22)</f>
        <v>0</v>
      </c>
      <c r="S32" s="52">
        <f>IF(AB23=0,0,1/AB23)</f>
        <v>0</v>
      </c>
      <c r="T32" s="52">
        <f>IF(AB24=0,0,1/AB24)</f>
        <v>0</v>
      </c>
      <c r="U32" s="52">
        <f>IF(AB25=0,0,1/AB25)</f>
        <v>0</v>
      </c>
      <c r="V32" s="52">
        <f>IF(AB26=0,0,1/AB26)</f>
        <v>0</v>
      </c>
      <c r="W32" s="52">
        <f>IF(AB27=0,0,1/AB27)</f>
        <v>0</v>
      </c>
      <c r="X32" s="52">
        <f>IF(AB28=0,0,1/AB28)</f>
        <v>0</v>
      </c>
      <c r="Y32" s="52">
        <f>IF(AB29=0,0,1/AB29)</f>
        <v>0</v>
      </c>
      <c r="Z32" s="52">
        <f>IF(AB30=0,0,1/AB30)</f>
        <v>0</v>
      </c>
      <c r="AA32" s="52">
        <f>IF(AB31=0,0,1/AB31)</f>
        <v>0</v>
      </c>
      <c r="AB32" s="53">
        <v>1</v>
      </c>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row>
    <row r="33" spans="1:51" s="1" customFormat="1" x14ac:dyDescent="0.25">
      <c r="A33" s="44"/>
    </row>
    <row r="34" spans="1:51" s="1" customFormat="1" x14ac:dyDescent="0.25">
      <c r="H34" s="84" t="s">
        <v>91</v>
      </c>
      <c r="I34" s="84"/>
      <c r="J34" s="84"/>
    </row>
    <row r="35" spans="1:51" ht="15" x14ac:dyDescent="0.25">
      <c r="B35" s="54" t="e" cm="1" vm="2">
        <f t="array" ref="B35:AB35">IF(TRANSPOSE(A6:A32)=0,"-",TRANSPOSE(A6:A32))</f>
        <v>#VALUE!</v>
      </c>
      <c r="C35" s="54" t="str">
        <v>-</v>
      </c>
      <c r="D35" s="54" t="str">
        <v>-</v>
      </c>
      <c r="E35" s="54" t="str">
        <v>-</v>
      </c>
      <c r="F35" s="54" t="str">
        <v>-</v>
      </c>
      <c r="G35" s="54" t="str">
        <v>-</v>
      </c>
      <c r="H35" s="54" t="str">
        <v>-</v>
      </c>
      <c r="I35" s="54" t="str">
        <v>-</v>
      </c>
      <c r="J35" s="54" t="str">
        <v>-</v>
      </c>
      <c r="K35" s="54" t="str">
        <v>-</v>
      </c>
      <c r="L35" s="54" t="str">
        <v>-</v>
      </c>
      <c r="M35" s="54" t="str">
        <v>-</v>
      </c>
      <c r="N35" s="54" t="str">
        <v>-</v>
      </c>
      <c r="O35" s="54" t="str">
        <v>-</v>
      </c>
      <c r="P35" s="54" t="str">
        <v>-</v>
      </c>
      <c r="Q35" s="54" t="str">
        <v>-</v>
      </c>
      <c r="R35" s="54" t="str">
        <v>-</v>
      </c>
      <c r="S35" s="54" t="str">
        <v>-</v>
      </c>
      <c r="T35" s="54" t="str">
        <v>-</v>
      </c>
      <c r="U35" s="54" t="str">
        <v>-</v>
      </c>
      <c r="V35" s="54" t="str">
        <v>-</v>
      </c>
      <c r="W35" s="54" t="str">
        <v>-</v>
      </c>
      <c r="X35" s="54" t="str">
        <v>-</v>
      </c>
      <c r="Y35" s="54" t="str">
        <v>-</v>
      </c>
      <c r="Z35" s="54" t="str">
        <v>-</v>
      </c>
      <c r="AA35" s="54" t="str">
        <v>-</v>
      </c>
      <c r="AB35" s="54" t="str">
        <v>-</v>
      </c>
      <c r="AC35" s="35" t="s">
        <v>69</v>
      </c>
      <c r="AD35" s="55" t="s">
        <v>72</v>
      </c>
      <c r="AE35" s="1"/>
      <c r="AF35" s="1"/>
      <c r="AG35" s="1"/>
      <c r="AH35" s="1"/>
      <c r="AI35" s="1"/>
      <c r="AJ35" s="1"/>
      <c r="AK35" s="1"/>
      <c r="AL35" s="1"/>
      <c r="AM35" s="1"/>
      <c r="AN35" s="1"/>
      <c r="AO35" s="1"/>
      <c r="AP35" s="1"/>
      <c r="AQ35" s="1"/>
      <c r="AR35" s="1"/>
      <c r="AS35" s="1"/>
      <c r="AT35" s="1"/>
      <c r="AU35" s="1"/>
      <c r="AV35" s="1"/>
      <c r="AW35" s="1"/>
      <c r="AX35" s="1"/>
      <c r="AY35" s="1"/>
    </row>
    <row r="36" spans="1:51" x14ac:dyDescent="0.25">
      <c r="A36" s="56" t="e" cm="1" vm="2">
        <f t="array" ref="A36">_xlfn._xlws.FILTER('AHP(Structure the hierarchy)'!B6:B33, 'AHP(Structure the hierarchy)'!B6:B33&lt;&gt;"")</f>
        <v>#VALUE!</v>
      </c>
      <c r="B36" s="57">
        <f>IF($B$6=0,0,$B$6*B6+$C$6*B7+$D$6*B8+$E$6*B9+$F$6*B10+$G$6*B11+H6*B12+I6*B13+J6*B14+K6*B15+L6*B16+M6*B17+N6*B18+O6*B19+P6*B20+Q6*B21+R6*B22+S6*B23+T6*B24+U6*B25+V6*B26+W6*B27+X6*B28+Y6*B29+Z6*B30+AA6*B31+AB6*B32)</f>
        <v>1</v>
      </c>
      <c r="C36" s="57">
        <f t="shared" ref="C36:AB36" si="0">IF($B$6=0,0,$B$6*C6+$C$6*C7+$D$6*C8+$E$6*C9+$F$6*C10+$G$6*C11+I6*C12+J6*C13+K6*C14+L6*C15+M6*C16+N6*C17+O6*C18+P6*C19+Q6*C20+R6*C21+S6*C22+T6*C23+U6*C24+V6*C25+W6*C26+X6*C27+Y6*C28+Z6*C29+AA6*C30+AB6*C31+AC6*C32)</f>
        <v>0</v>
      </c>
      <c r="D36" s="57">
        <f t="shared" si="0"/>
        <v>0</v>
      </c>
      <c r="E36" s="57">
        <f t="shared" si="0"/>
        <v>0</v>
      </c>
      <c r="F36" s="57">
        <f t="shared" si="0"/>
        <v>0</v>
      </c>
      <c r="G36" s="57">
        <f t="shared" si="0"/>
        <v>0</v>
      </c>
      <c r="H36" s="57">
        <f t="shared" si="0"/>
        <v>0</v>
      </c>
      <c r="I36" s="57">
        <f t="shared" si="0"/>
        <v>0</v>
      </c>
      <c r="J36" s="57">
        <f t="shared" si="0"/>
        <v>0</v>
      </c>
      <c r="K36" s="57">
        <f t="shared" si="0"/>
        <v>0</v>
      </c>
      <c r="L36" s="57">
        <f t="shared" si="0"/>
        <v>0</v>
      </c>
      <c r="M36" s="57">
        <f t="shared" si="0"/>
        <v>0</v>
      </c>
      <c r="N36" s="57">
        <f t="shared" si="0"/>
        <v>0</v>
      </c>
      <c r="O36" s="57">
        <f t="shared" si="0"/>
        <v>0</v>
      </c>
      <c r="P36" s="57">
        <f t="shared" si="0"/>
        <v>0</v>
      </c>
      <c r="Q36" s="57">
        <f t="shared" si="0"/>
        <v>0</v>
      </c>
      <c r="R36" s="57">
        <f t="shared" si="0"/>
        <v>0</v>
      </c>
      <c r="S36" s="57">
        <f t="shared" si="0"/>
        <v>0</v>
      </c>
      <c r="T36" s="57">
        <f t="shared" si="0"/>
        <v>0</v>
      </c>
      <c r="U36" s="57">
        <f t="shared" si="0"/>
        <v>0</v>
      </c>
      <c r="V36" s="57">
        <f t="shared" si="0"/>
        <v>0</v>
      </c>
      <c r="W36" s="57">
        <f t="shared" si="0"/>
        <v>0</v>
      </c>
      <c r="X36" s="57">
        <f t="shared" si="0"/>
        <v>0</v>
      </c>
      <c r="Y36" s="57">
        <f t="shared" si="0"/>
        <v>0</v>
      </c>
      <c r="Z36" s="57">
        <f t="shared" si="0"/>
        <v>0</v>
      </c>
      <c r="AA36" s="57">
        <f t="shared" si="0"/>
        <v>0</v>
      </c>
      <c r="AB36" s="57">
        <f t="shared" si="0"/>
        <v>0</v>
      </c>
      <c r="AC36" s="57">
        <f>SUM(B36:AB36)</f>
        <v>1</v>
      </c>
      <c r="AD36" s="57">
        <f t="shared" ref="AD36:AD62" si="1">AC36/$AC$63</f>
        <v>1</v>
      </c>
      <c r="AE36" s="1"/>
      <c r="AF36" s="1"/>
      <c r="AG36" s="1"/>
      <c r="AH36" s="1"/>
      <c r="AI36" s="1"/>
      <c r="AJ36" s="1"/>
      <c r="AK36" s="1"/>
      <c r="AL36" s="1"/>
      <c r="AM36" s="1"/>
      <c r="AN36" s="1"/>
      <c r="AO36" s="1"/>
      <c r="AP36" s="1"/>
      <c r="AQ36" s="1"/>
      <c r="AR36" s="1"/>
      <c r="AS36" s="1"/>
      <c r="AT36" s="1"/>
      <c r="AU36" s="1"/>
      <c r="AV36" s="1"/>
      <c r="AW36" s="1"/>
      <c r="AX36" s="1"/>
      <c r="AY36" s="1"/>
    </row>
    <row r="37" spans="1:51" x14ac:dyDescent="0.25">
      <c r="A37" s="56"/>
      <c r="B37" s="57">
        <f>IF($B$7=0,0,$B$7*B6+$C$7*B7+$D$7*B8+$E$7*B9+$F$7*B10+$G$7*B11+$H$7*B12+$I$7*B13+$J$7*B14+$K$7*B15+$L$7*B16+$M$7*B17+$N$7*B18+$O$7*B19+$P$7*B20+$Q$7*B21+$R$7*B22+$S$7*B23+$T$7*B24+$U$7*B25+$V$7*B26+$W$7*B27+$X$7*B28+$Y$7*B29+$Z$7*B30+$AA$7*B31+$AB$7*B32)</f>
        <v>0</v>
      </c>
      <c r="C37" s="57">
        <f t="shared" ref="C37:AB37" si="2">IF($B$7=0,0,$B$7*C6+$C$7*C7+$D$7*C8+$E$7*C9+$F$7*C10+$G$7*C11+$H$7*C12+$I$7*C13+$J$7*C14+$K$7*C15+$L$7*C16+$M$7*C17+$N$7*C18+$O$7*C19+$P$7*C20+$Q$7*C21+$R$7*C22+$S$7*C23+$T$7*C24+$U$7*C25+$V$7*C26+$W$7*C27+$X$7*C28+$Y$7*C29+$Z$7*C30+$AA$7*C31+$AB$7*C32)</f>
        <v>0</v>
      </c>
      <c r="D37" s="57">
        <f t="shared" si="2"/>
        <v>0</v>
      </c>
      <c r="E37" s="57">
        <f t="shared" si="2"/>
        <v>0</v>
      </c>
      <c r="F37" s="57">
        <f t="shared" si="2"/>
        <v>0</v>
      </c>
      <c r="G37" s="57">
        <f t="shared" si="2"/>
        <v>0</v>
      </c>
      <c r="H37" s="57">
        <f t="shared" si="2"/>
        <v>0</v>
      </c>
      <c r="I37" s="57">
        <f t="shared" si="2"/>
        <v>0</v>
      </c>
      <c r="J37" s="57">
        <f t="shared" si="2"/>
        <v>0</v>
      </c>
      <c r="K37" s="57">
        <f t="shared" si="2"/>
        <v>0</v>
      </c>
      <c r="L37" s="57">
        <f t="shared" si="2"/>
        <v>0</v>
      </c>
      <c r="M37" s="57">
        <f t="shared" si="2"/>
        <v>0</v>
      </c>
      <c r="N37" s="57">
        <f t="shared" si="2"/>
        <v>0</v>
      </c>
      <c r="O37" s="57">
        <f t="shared" si="2"/>
        <v>0</v>
      </c>
      <c r="P37" s="57">
        <f t="shared" si="2"/>
        <v>0</v>
      </c>
      <c r="Q37" s="57">
        <f t="shared" si="2"/>
        <v>0</v>
      </c>
      <c r="R37" s="57">
        <f t="shared" si="2"/>
        <v>0</v>
      </c>
      <c r="S37" s="57">
        <f t="shared" si="2"/>
        <v>0</v>
      </c>
      <c r="T37" s="57">
        <f t="shared" si="2"/>
        <v>0</v>
      </c>
      <c r="U37" s="57">
        <f t="shared" si="2"/>
        <v>0</v>
      </c>
      <c r="V37" s="57">
        <f t="shared" si="2"/>
        <v>0</v>
      </c>
      <c r="W37" s="57">
        <f t="shared" si="2"/>
        <v>0</v>
      </c>
      <c r="X37" s="57">
        <f t="shared" si="2"/>
        <v>0</v>
      </c>
      <c r="Y37" s="57">
        <f t="shared" si="2"/>
        <v>0</v>
      </c>
      <c r="Z37" s="57">
        <f t="shared" si="2"/>
        <v>0</v>
      </c>
      <c r="AA37" s="57">
        <f t="shared" si="2"/>
        <v>0</v>
      </c>
      <c r="AB37" s="57">
        <f t="shared" si="2"/>
        <v>0</v>
      </c>
      <c r="AC37" s="57">
        <f t="shared" ref="AC37:AC62" si="3">SUM(B37:AB37)</f>
        <v>0</v>
      </c>
      <c r="AD37" s="57">
        <f t="shared" si="1"/>
        <v>0</v>
      </c>
      <c r="AE37" s="1"/>
      <c r="AF37" s="1"/>
      <c r="AG37" s="1"/>
      <c r="AH37" s="1"/>
      <c r="AI37" s="1"/>
      <c r="AJ37" s="1"/>
      <c r="AK37" s="1"/>
      <c r="AL37" s="1"/>
      <c r="AM37" s="1"/>
      <c r="AN37" s="1"/>
      <c r="AO37" s="1"/>
      <c r="AP37" s="1"/>
      <c r="AQ37" s="1"/>
      <c r="AR37" s="1"/>
      <c r="AS37" s="1"/>
      <c r="AT37" s="1"/>
      <c r="AU37" s="1"/>
      <c r="AV37" s="1"/>
      <c r="AW37" s="1"/>
      <c r="AX37" s="1"/>
      <c r="AY37" s="1"/>
    </row>
    <row r="38" spans="1:51" x14ac:dyDescent="0.25">
      <c r="A38" s="56"/>
      <c r="B38" s="57">
        <f>IF($B$8=0,0,$B$8*B6+$C$8*B7+$D$8*B8+$E$8*B9+$F$8*B10+$G$8*B11+$H$8*B12+$I$8*B13+$J$8*B14+$K$8*B15+$L$8*B16+$M$8*B17+$N$8*B18+$O$8*B19+$P$8*B20+$Q$8*B21+$R$8*B22+$S$8*B23+$T$8*B24+$U$8*B25+$V$8*B26+$W$8*B27+$X$8*B28+$Y$8*B29+$Z$8*B30+$AA$8*B31+$AB$8*B32)</f>
        <v>0</v>
      </c>
      <c r="C38" s="57">
        <f t="shared" ref="C38:AB38" si="4">IF($B$8=0,0,$B$8*C6+$C$8*C7+$D$8*C8+$E$8*C9+$F$8*C10+$G$8*C11+$H$8*C12+$I$8*C13+$J$8*C14+$K$8*C15+$L$8*C16+$M$8*C17+$N$8*C18+$O$8*C19+$P$8*C20+$Q$8*C21+$R$8*C22+$S$8*C23+$T$8*C24+$U$8*C25+$V$8*C26+$W$8*C27+$X$8*C28+$Y$8*C29+$Z$8*C30+$AA$8*C31+$AB$8*C32)</f>
        <v>0</v>
      </c>
      <c r="D38" s="57">
        <f t="shared" si="4"/>
        <v>0</v>
      </c>
      <c r="E38" s="57">
        <f t="shared" si="4"/>
        <v>0</v>
      </c>
      <c r="F38" s="57">
        <f t="shared" si="4"/>
        <v>0</v>
      </c>
      <c r="G38" s="57">
        <f t="shared" si="4"/>
        <v>0</v>
      </c>
      <c r="H38" s="57">
        <f t="shared" si="4"/>
        <v>0</v>
      </c>
      <c r="I38" s="57">
        <f t="shared" si="4"/>
        <v>0</v>
      </c>
      <c r="J38" s="57">
        <f t="shared" si="4"/>
        <v>0</v>
      </c>
      <c r="K38" s="57">
        <f t="shared" si="4"/>
        <v>0</v>
      </c>
      <c r="L38" s="57">
        <f t="shared" si="4"/>
        <v>0</v>
      </c>
      <c r="M38" s="57">
        <f t="shared" si="4"/>
        <v>0</v>
      </c>
      <c r="N38" s="57">
        <f t="shared" si="4"/>
        <v>0</v>
      </c>
      <c r="O38" s="57">
        <f t="shared" si="4"/>
        <v>0</v>
      </c>
      <c r="P38" s="57">
        <f t="shared" si="4"/>
        <v>0</v>
      </c>
      <c r="Q38" s="57">
        <f t="shared" si="4"/>
        <v>0</v>
      </c>
      <c r="R38" s="57">
        <f t="shared" si="4"/>
        <v>0</v>
      </c>
      <c r="S38" s="57">
        <f t="shared" si="4"/>
        <v>0</v>
      </c>
      <c r="T38" s="57">
        <f t="shared" si="4"/>
        <v>0</v>
      </c>
      <c r="U38" s="57">
        <f t="shared" si="4"/>
        <v>0</v>
      </c>
      <c r="V38" s="57">
        <f t="shared" si="4"/>
        <v>0</v>
      </c>
      <c r="W38" s="57">
        <f t="shared" si="4"/>
        <v>0</v>
      </c>
      <c r="X38" s="57">
        <f t="shared" si="4"/>
        <v>0</v>
      </c>
      <c r="Y38" s="57">
        <f t="shared" si="4"/>
        <v>0</v>
      </c>
      <c r="Z38" s="57">
        <f t="shared" si="4"/>
        <v>0</v>
      </c>
      <c r="AA38" s="57">
        <f t="shared" si="4"/>
        <v>0</v>
      </c>
      <c r="AB38" s="57">
        <f t="shared" si="4"/>
        <v>0</v>
      </c>
      <c r="AC38" s="57">
        <f t="shared" si="3"/>
        <v>0</v>
      </c>
      <c r="AD38" s="57">
        <f t="shared" si="1"/>
        <v>0</v>
      </c>
      <c r="AE38" s="1"/>
      <c r="AF38" s="1"/>
      <c r="AG38" s="1"/>
      <c r="AH38" s="1"/>
      <c r="AI38" s="1"/>
      <c r="AJ38" s="1"/>
      <c r="AK38" s="1"/>
      <c r="AL38" s="1"/>
      <c r="AM38" s="1"/>
      <c r="AN38" s="1"/>
      <c r="AO38" s="1"/>
      <c r="AP38" s="1"/>
      <c r="AQ38" s="1"/>
      <c r="AR38" s="1"/>
      <c r="AS38" s="1"/>
      <c r="AT38" s="1"/>
      <c r="AU38" s="1"/>
      <c r="AV38" s="1"/>
      <c r="AW38" s="1"/>
      <c r="AX38" s="1"/>
      <c r="AY38" s="1"/>
    </row>
    <row r="39" spans="1:51" x14ac:dyDescent="0.25">
      <c r="A39" s="56"/>
      <c r="B39" s="57">
        <f>IF($B$9=0,0,$B$9*B6+$C$9*B7+$D$9*B8+$E$9*B9+$F$9*B10+$G$9*B11+$H$9*B12+$I$9*B13+$J$9*B14+$K$9*B15+$L$9*B16+$M$9*B17+$N$9*B18+$O$9*B19+$P$9*B20+$Q$9*B21+$R$9*B22+$S$9*B23+$T$9*B24+$U$9*B25+$V$9*B26+$W$9*B27+$X$9*B28+$Y$9*B29+$Z$9*B30+$AA$9*B31+$AB$9*B32)</f>
        <v>0</v>
      </c>
      <c r="C39" s="57">
        <f t="shared" ref="C39:AB39" si="5">IF($B$9=0,0,$B$9*C6+$C$9*C7+$D$9*C8+$E$9*C9+$F$9*C10+$G$9*C11+$H$9*C12+$I$9*C13+$J$9*C14+$K$9*C15+$L$9*C16+$M$9*C17+$N$9*C18+$O$9*C19+$P$9*C20+$Q$9*C21+$R$9*C22+$S$9*C23+$T$9*C24+$U$9*C25+$V$9*C26+$W$9*C27+$X$9*C28+$Y$9*C29+$Z$9*C30+$AA$9*C31+$AB$9*C32)</f>
        <v>0</v>
      </c>
      <c r="D39" s="57">
        <f t="shared" si="5"/>
        <v>0</v>
      </c>
      <c r="E39" s="57">
        <f t="shared" si="5"/>
        <v>0</v>
      </c>
      <c r="F39" s="57">
        <f t="shared" si="5"/>
        <v>0</v>
      </c>
      <c r="G39" s="57">
        <f t="shared" si="5"/>
        <v>0</v>
      </c>
      <c r="H39" s="57">
        <f t="shared" si="5"/>
        <v>0</v>
      </c>
      <c r="I39" s="57">
        <f t="shared" si="5"/>
        <v>0</v>
      </c>
      <c r="J39" s="57">
        <f t="shared" si="5"/>
        <v>0</v>
      </c>
      <c r="K39" s="57">
        <f t="shared" si="5"/>
        <v>0</v>
      </c>
      <c r="L39" s="57">
        <f t="shared" si="5"/>
        <v>0</v>
      </c>
      <c r="M39" s="57">
        <f t="shared" si="5"/>
        <v>0</v>
      </c>
      <c r="N39" s="57">
        <f t="shared" si="5"/>
        <v>0</v>
      </c>
      <c r="O39" s="57">
        <f t="shared" si="5"/>
        <v>0</v>
      </c>
      <c r="P39" s="57">
        <f t="shared" si="5"/>
        <v>0</v>
      </c>
      <c r="Q39" s="57">
        <f t="shared" si="5"/>
        <v>0</v>
      </c>
      <c r="R39" s="57">
        <f t="shared" si="5"/>
        <v>0</v>
      </c>
      <c r="S39" s="57">
        <f t="shared" si="5"/>
        <v>0</v>
      </c>
      <c r="T39" s="57">
        <f t="shared" si="5"/>
        <v>0</v>
      </c>
      <c r="U39" s="57">
        <f t="shared" si="5"/>
        <v>0</v>
      </c>
      <c r="V39" s="57">
        <f t="shared" si="5"/>
        <v>0</v>
      </c>
      <c r="W39" s="57">
        <f t="shared" si="5"/>
        <v>0</v>
      </c>
      <c r="X39" s="57">
        <f t="shared" si="5"/>
        <v>0</v>
      </c>
      <c r="Y39" s="57">
        <f t="shared" si="5"/>
        <v>0</v>
      </c>
      <c r="Z39" s="57">
        <f t="shared" si="5"/>
        <v>0</v>
      </c>
      <c r="AA39" s="57">
        <f t="shared" si="5"/>
        <v>0</v>
      </c>
      <c r="AB39" s="57">
        <f t="shared" si="5"/>
        <v>0</v>
      </c>
      <c r="AC39" s="57">
        <f t="shared" si="3"/>
        <v>0</v>
      </c>
      <c r="AD39" s="57">
        <f t="shared" si="1"/>
        <v>0</v>
      </c>
      <c r="AE39" s="1"/>
      <c r="AF39" s="1"/>
      <c r="AG39" s="1"/>
      <c r="AH39" s="1"/>
      <c r="AI39" s="1"/>
      <c r="AJ39" s="1"/>
      <c r="AK39" s="1"/>
      <c r="AL39" s="1"/>
      <c r="AM39" s="1"/>
      <c r="AN39" s="1"/>
      <c r="AO39" s="1"/>
      <c r="AP39" s="1"/>
      <c r="AQ39" s="1"/>
      <c r="AR39" s="1"/>
      <c r="AS39" s="1"/>
      <c r="AT39" s="1"/>
      <c r="AU39" s="1"/>
      <c r="AV39" s="1"/>
      <c r="AW39" s="1"/>
      <c r="AX39" s="1"/>
      <c r="AY39" s="1"/>
    </row>
    <row r="40" spans="1:51" x14ac:dyDescent="0.25">
      <c r="A40" s="56"/>
      <c r="B40" s="57">
        <f>IF($B$10=0,0,$B$10*B6+$C$10*B7+$D$10*B8+$E$10*B9+$F$10*B10+$G$10*B11+$H$10*B12+$I$10*B13+$J$10*B14+$K$10*B15+$L$10*B16+$M$10*B17+$N$10*B18+$O$10*B19+$P$10*B20+$Q$10*B21+$R$10*B22+$S$10*B23+$T$10*B24+$U$10*B25+$V$10*B26+$W$10*B27+$X$10*B28+$Y$10*B29+$Z$10*B30+$AA$10*B31+$AB$10*B32)</f>
        <v>0</v>
      </c>
      <c r="C40" s="57">
        <f t="shared" ref="C40:AB40" si="6">IF($B$10=0,0,$B$10*C6+$C$10*C7+$D$10*C8+$E$10*C9+$F$10*C10+$G$10*C11+$H$10*C12+$I$10*C13+$J$10*C14+$K$10*C15+$L$10*C16+$M$10*C17+$N$10*C18+$O$10*C19+$P$10*C20+$Q$10*C21+$R$10*C22+$S$10*C23+$T$10*C24+$U$10*C25+$V$10*C26+$W$10*C27+$X$10*C28+$Y$10*C29+$Z$10*C30+$AA$10*C31+$AB$10*C32)</f>
        <v>0</v>
      </c>
      <c r="D40" s="57">
        <f t="shared" si="6"/>
        <v>0</v>
      </c>
      <c r="E40" s="57">
        <f t="shared" si="6"/>
        <v>0</v>
      </c>
      <c r="F40" s="57">
        <f t="shared" si="6"/>
        <v>0</v>
      </c>
      <c r="G40" s="57">
        <f t="shared" si="6"/>
        <v>0</v>
      </c>
      <c r="H40" s="57">
        <f t="shared" si="6"/>
        <v>0</v>
      </c>
      <c r="I40" s="57">
        <f t="shared" si="6"/>
        <v>0</v>
      </c>
      <c r="J40" s="57">
        <f t="shared" si="6"/>
        <v>0</v>
      </c>
      <c r="K40" s="57">
        <f t="shared" si="6"/>
        <v>0</v>
      </c>
      <c r="L40" s="57">
        <f t="shared" si="6"/>
        <v>0</v>
      </c>
      <c r="M40" s="57">
        <f t="shared" si="6"/>
        <v>0</v>
      </c>
      <c r="N40" s="57">
        <f t="shared" si="6"/>
        <v>0</v>
      </c>
      <c r="O40" s="57">
        <f t="shared" si="6"/>
        <v>0</v>
      </c>
      <c r="P40" s="57">
        <f t="shared" si="6"/>
        <v>0</v>
      </c>
      <c r="Q40" s="57">
        <f t="shared" si="6"/>
        <v>0</v>
      </c>
      <c r="R40" s="57">
        <f t="shared" si="6"/>
        <v>0</v>
      </c>
      <c r="S40" s="57">
        <f t="shared" si="6"/>
        <v>0</v>
      </c>
      <c r="T40" s="57">
        <f t="shared" si="6"/>
        <v>0</v>
      </c>
      <c r="U40" s="57">
        <f t="shared" si="6"/>
        <v>0</v>
      </c>
      <c r="V40" s="57">
        <f t="shared" si="6"/>
        <v>0</v>
      </c>
      <c r="W40" s="57">
        <f t="shared" si="6"/>
        <v>0</v>
      </c>
      <c r="X40" s="57">
        <f t="shared" si="6"/>
        <v>0</v>
      </c>
      <c r="Y40" s="57">
        <f t="shared" si="6"/>
        <v>0</v>
      </c>
      <c r="Z40" s="57">
        <f t="shared" si="6"/>
        <v>0</v>
      </c>
      <c r="AA40" s="57">
        <f t="shared" si="6"/>
        <v>0</v>
      </c>
      <c r="AB40" s="57">
        <f t="shared" si="6"/>
        <v>0</v>
      </c>
      <c r="AC40" s="57">
        <f t="shared" si="3"/>
        <v>0</v>
      </c>
      <c r="AD40" s="57">
        <f t="shared" si="1"/>
        <v>0</v>
      </c>
      <c r="AE40" s="1"/>
      <c r="AF40" s="1"/>
      <c r="AG40" s="1"/>
      <c r="AH40" s="1"/>
      <c r="AI40" s="1"/>
      <c r="AJ40" s="1"/>
      <c r="AK40" s="1"/>
      <c r="AL40" s="1"/>
      <c r="AM40" s="1"/>
      <c r="AN40" s="1"/>
      <c r="AO40" s="1"/>
      <c r="AP40" s="1"/>
      <c r="AQ40" s="1"/>
      <c r="AR40" s="1"/>
      <c r="AS40" s="1"/>
      <c r="AT40" s="1"/>
      <c r="AU40" s="1"/>
      <c r="AV40" s="1"/>
      <c r="AW40" s="1"/>
      <c r="AX40" s="1"/>
      <c r="AY40" s="1"/>
    </row>
    <row r="41" spans="1:51" x14ac:dyDescent="0.25">
      <c r="A41" s="56"/>
      <c r="B41" s="57">
        <f>IF($B$11=0,0,$B$11*B6+$C$11*B7+$D$11*B8+$E$11*B9+$F$11*B10+$G$11*B11+$H$11*B12+$I$11*B13+$J$11*B14+$K$11*B15+$L$11*B16+$M$11*B17+$N$11*B18+$O$11*B19+$P$11*B20+$Q$11*B21+$R$11*B22+$S$11*B23+$T$11*B24+$U$11*B25+$V$11*B26+$W$11*B27+$X$11*B28+$Y$11*B29+$Z$11*B30+$AA$11*B31+$AB$11*B32)</f>
        <v>0</v>
      </c>
      <c r="C41" s="57">
        <f t="shared" ref="C41:AB41" si="7">IF($B$11=0,0,$B$11*C6+$C$11*C7+$D$11*C8+$E$11*C9+$F$11*C10+$G$11*C11+$H$11*C12+$I$11*C13+$J$11*C14+$K$11*C15+$L$11*C16+$M$11*C17+$N$11*C18+$O$11*C19+$P$11*C20+$Q$11*C21+$R$11*C22+$S$11*C23+$T$11*C24+$U$11*C25+$V$11*C26+$W$11*C27+$X$11*C28+$Y$11*C29+$Z$11*C30+$AA$11*C31+$AB$11*C32)</f>
        <v>0</v>
      </c>
      <c r="D41" s="57">
        <f t="shared" si="7"/>
        <v>0</v>
      </c>
      <c r="E41" s="57">
        <f t="shared" si="7"/>
        <v>0</v>
      </c>
      <c r="F41" s="57">
        <f t="shared" si="7"/>
        <v>0</v>
      </c>
      <c r="G41" s="57">
        <f t="shared" si="7"/>
        <v>0</v>
      </c>
      <c r="H41" s="57">
        <f t="shared" si="7"/>
        <v>0</v>
      </c>
      <c r="I41" s="57">
        <f t="shared" si="7"/>
        <v>0</v>
      </c>
      <c r="J41" s="57">
        <f t="shared" si="7"/>
        <v>0</v>
      </c>
      <c r="K41" s="57">
        <f t="shared" si="7"/>
        <v>0</v>
      </c>
      <c r="L41" s="57">
        <f t="shared" si="7"/>
        <v>0</v>
      </c>
      <c r="M41" s="57">
        <f t="shared" si="7"/>
        <v>0</v>
      </c>
      <c r="N41" s="57">
        <f t="shared" si="7"/>
        <v>0</v>
      </c>
      <c r="O41" s="57">
        <f t="shared" si="7"/>
        <v>0</v>
      </c>
      <c r="P41" s="57">
        <f t="shared" si="7"/>
        <v>0</v>
      </c>
      <c r="Q41" s="57">
        <f t="shared" si="7"/>
        <v>0</v>
      </c>
      <c r="R41" s="57">
        <f t="shared" si="7"/>
        <v>0</v>
      </c>
      <c r="S41" s="57">
        <f t="shared" si="7"/>
        <v>0</v>
      </c>
      <c r="T41" s="57">
        <f t="shared" si="7"/>
        <v>0</v>
      </c>
      <c r="U41" s="57">
        <f t="shared" si="7"/>
        <v>0</v>
      </c>
      <c r="V41" s="57">
        <f t="shared" si="7"/>
        <v>0</v>
      </c>
      <c r="W41" s="57">
        <f t="shared" si="7"/>
        <v>0</v>
      </c>
      <c r="X41" s="57">
        <f t="shared" si="7"/>
        <v>0</v>
      </c>
      <c r="Y41" s="57">
        <f t="shared" si="7"/>
        <v>0</v>
      </c>
      <c r="Z41" s="57">
        <f t="shared" si="7"/>
        <v>0</v>
      </c>
      <c r="AA41" s="57">
        <f t="shared" si="7"/>
        <v>0</v>
      </c>
      <c r="AB41" s="57">
        <f t="shared" si="7"/>
        <v>0</v>
      </c>
      <c r="AC41" s="57">
        <f t="shared" si="3"/>
        <v>0</v>
      </c>
      <c r="AD41" s="57">
        <f t="shared" si="1"/>
        <v>0</v>
      </c>
      <c r="AE41" s="1"/>
      <c r="AF41" s="1"/>
      <c r="AG41" s="1"/>
      <c r="AH41" s="1"/>
      <c r="AI41" s="1"/>
      <c r="AJ41" s="1"/>
      <c r="AK41" s="1"/>
      <c r="AL41" s="1"/>
      <c r="AM41" s="1"/>
      <c r="AN41" s="1"/>
      <c r="AO41" s="1"/>
      <c r="AP41" s="1"/>
      <c r="AQ41" s="1"/>
      <c r="AR41" s="1"/>
      <c r="AS41" s="1"/>
      <c r="AT41" s="1"/>
      <c r="AU41" s="1"/>
      <c r="AV41" s="1"/>
      <c r="AW41" s="1"/>
      <c r="AX41" s="1"/>
      <c r="AY41" s="1"/>
    </row>
    <row r="42" spans="1:51" x14ac:dyDescent="0.25">
      <c r="A42" s="56"/>
      <c r="B42" s="57">
        <f>IF($B$12=0,0,$B$12*B6+$C$12*B7+$D$12*B8+$E$12*B9+$F$12*B10+$G$12*B11+$H$12*B12+$I$12*B13+$J$12*B14+$K$12*B15+$L$12*B16+$M$12*B17+$N$12*B18+$O$12*B19+$P$12*B20+$Q$12*B21+$R$12*B22+$S$12*B23+$T$12*B24+$U$12*B25+$V$12*B26+$W$12*B27+$X$12*B28+$Y$12*B29+$Z$12*B30+$AA$12*B31+$AB$12*B32)</f>
        <v>0</v>
      </c>
      <c r="C42" s="57">
        <f t="shared" ref="C42:AB42" si="8">IF($B$12=0,0,$B$12*C6+$C$12*C7+$D$12*C8+$E$12*C9+$F$12*C10+$G$12*C11+$H$12*C12+$I$12*C13+$J$12*C14+$K$12*C15+$L$12*C16+$M$12*C17+$N$12*C18+$O$12*C19+$P$12*C20+$Q$12*C21+$R$12*C22+$S$12*C23+$T$12*C24+$U$12*C25+$V$12*C26+$W$12*C27+$X$12*C28+$Y$12*C29+$Z$12*C30+$AA$12*C31+$AB$12*C32)</f>
        <v>0</v>
      </c>
      <c r="D42" s="57">
        <f t="shared" si="8"/>
        <v>0</v>
      </c>
      <c r="E42" s="57">
        <f t="shared" si="8"/>
        <v>0</v>
      </c>
      <c r="F42" s="57">
        <f t="shared" si="8"/>
        <v>0</v>
      </c>
      <c r="G42" s="57">
        <f t="shared" si="8"/>
        <v>0</v>
      </c>
      <c r="H42" s="57">
        <f t="shared" si="8"/>
        <v>0</v>
      </c>
      <c r="I42" s="57">
        <f t="shared" si="8"/>
        <v>0</v>
      </c>
      <c r="J42" s="57">
        <f t="shared" si="8"/>
        <v>0</v>
      </c>
      <c r="K42" s="57">
        <f t="shared" si="8"/>
        <v>0</v>
      </c>
      <c r="L42" s="57">
        <f t="shared" si="8"/>
        <v>0</v>
      </c>
      <c r="M42" s="57">
        <f t="shared" si="8"/>
        <v>0</v>
      </c>
      <c r="N42" s="57">
        <f t="shared" si="8"/>
        <v>0</v>
      </c>
      <c r="O42" s="57">
        <f t="shared" si="8"/>
        <v>0</v>
      </c>
      <c r="P42" s="57">
        <f t="shared" si="8"/>
        <v>0</v>
      </c>
      <c r="Q42" s="57">
        <f t="shared" si="8"/>
        <v>0</v>
      </c>
      <c r="R42" s="57">
        <f t="shared" si="8"/>
        <v>0</v>
      </c>
      <c r="S42" s="57">
        <f t="shared" si="8"/>
        <v>0</v>
      </c>
      <c r="T42" s="57">
        <f t="shared" si="8"/>
        <v>0</v>
      </c>
      <c r="U42" s="57">
        <f t="shared" si="8"/>
        <v>0</v>
      </c>
      <c r="V42" s="57">
        <f t="shared" si="8"/>
        <v>0</v>
      </c>
      <c r="W42" s="57">
        <f t="shared" si="8"/>
        <v>0</v>
      </c>
      <c r="X42" s="57">
        <f t="shared" si="8"/>
        <v>0</v>
      </c>
      <c r="Y42" s="57">
        <f t="shared" si="8"/>
        <v>0</v>
      </c>
      <c r="Z42" s="57">
        <f t="shared" si="8"/>
        <v>0</v>
      </c>
      <c r="AA42" s="57">
        <f t="shared" si="8"/>
        <v>0</v>
      </c>
      <c r="AB42" s="57">
        <f t="shared" si="8"/>
        <v>0</v>
      </c>
      <c r="AC42" s="57">
        <f t="shared" si="3"/>
        <v>0</v>
      </c>
      <c r="AD42" s="57">
        <f t="shared" si="1"/>
        <v>0</v>
      </c>
      <c r="AE42" s="1"/>
      <c r="AF42" s="1"/>
      <c r="AG42" s="1"/>
      <c r="AH42" s="1"/>
      <c r="AI42" s="1"/>
      <c r="AJ42" s="1"/>
      <c r="AK42" s="1"/>
      <c r="AL42" s="1"/>
      <c r="AM42" s="1"/>
      <c r="AN42" s="1"/>
      <c r="AO42" s="1"/>
      <c r="AP42" s="1"/>
      <c r="AQ42" s="1"/>
      <c r="AR42" s="1"/>
      <c r="AS42" s="1"/>
      <c r="AT42" s="1"/>
      <c r="AU42" s="1"/>
      <c r="AV42" s="1"/>
      <c r="AW42" s="1"/>
      <c r="AX42" s="1"/>
      <c r="AY42" s="1"/>
    </row>
    <row r="43" spans="1:51" x14ac:dyDescent="0.25">
      <c r="A43" s="56"/>
      <c r="B43" s="57">
        <f>IF($B$13=0,0,$B$13*B6+$C$13*B7+$D$13*B8+$E$13*B9+$F$13*B10+$G$13*B11+$H$13*B12+$I$13*B13+$J$13*B14+$K$13*B15+$L$13*B16+$M$13*B17+$N$13*B18+$O$13*B19+$P$13*B20+$Q$13*B21+$R$13*B22+$S$13*B23+$T$13*B24+$U$13*B25+$V$13*B26+$W$13*B27+$X$13*B28+$Y$13*B29+$Z$13*B30+$AA$13*B31+$AB$13*B32)</f>
        <v>0</v>
      </c>
      <c r="C43" s="57">
        <f t="shared" ref="C43:AB43" si="9">IF($B$13=0,0,$B$13*C6+$C$13*C7+$D$13*C8+$E$13*C9+$F$13*C10+$G$13*C11+$H$13*C12+$I$13*C13+$J$13*C14+$K$13*C15+$L$13*C16+$M$13*C17+$N$13*C18+$O$13*C19+$P$13*C20+$Q$13*C21+$R$13*C22+$S$13*C23+$T$13*C24+$U$13*C25+$V$13*C26+$W$13*C27+$X$13*C28+$Y$13*C29+$Z$13*C30+$AA$13*C31+$AB$13*C32)</f>
        <v>0</v>
      </c>
      <c r="D43" s="57">
        <f t="shared" si="9"/>
        <v>0</v>
      </c>
      <c r="E43" s="57">
        <f t="shared" si="9"/>
        <v>0</v>
      </c>
      <c r="F43" s="57">
        <f t="shared" si="9"/>
        <v>0</v>
      </c>
      <c r="G43" s="57">
        <f t="shared" si="9"/>
        <v>0</v>
      </c>
      <c r="H43" s="57">
        <f t="shared" si="9"/>
        <v>0</v>
      </c>
      <c r="I43" s="57">
        <f t="shared" si="9"/>
        <v>0</v>
      </c>
      <c r="J43" s="57">
        <f t="shared" si="9"/>
        <v>0</v>
      </c>
      <c r="K43" s="57">
        <f t="shared" si="9"/>
        <v>0</v>
      </c>
      <c r="L43" s="57">
        <f t="shared" si="9"/>
        <v>0</v>
      </c>
      <c r="M43" s="57">
        <f t="shared" si="9"/>
        <v>0</v>
      </c>
      <c r="N43" s="57">
        <f t="shared" si="9"/>
        <v>0</v>
      </c>
      <c r="O43" s="57">
        <f t="shared" si="9"/>
        <v>0</v>
      </c>
      <c r="P43" s="57">
        <f t="shared" si="9"/>
        <v>0</v>
      </c>
      <c r="Q43" s="57">
        <f t="shared" si="9"/>
        <v>0</v>
      </c>
      <c r="R43" s="57">
        <f t="shared" si="9"/>
        <v>0</v>
      </c>
      <c r="S43" s="57">
        <f t="shared" si="9"/>
        <v>0</v>
      </c>
      <c r="T43" s="57">
        <f t="shared" si="9"/>
        <v>0</v>
      </c>
      <c r="U43" s="57">
        <f t="shared" si="9"/>
        <v>0</v>
      </c>
      <c r="V43" s="57">
        <f t="shared" si="9"/>
        <v>0</v>
      </c>
      <c r="W43" s="57">
        <f t="shared" si="9"/>
        <v>0</v>
      </c>
      <c r="X43" s="57">
        <f t="shared" si="9"/>
        <v>0</v>
      </c>
      <c r="Y43" s="57">
        <f t="shared" si="9"/>
        <v>0</v>
      </c>
      <c r="Z43" s="57">
        <f t="shared" si="9"/>
        <v>0</v>
      </c>
      <c r="AA43" s="57">
        <f t="shared" si="9"/>
        <v>0</v>
      </c>
      <c r="AB43" s="57">
        <f t="shared" si="9"/>
        <v>0</v>
      </c>
      <c r="AC43" s="57">
        <f t="shared" si="3"/>
        <v>0</v>
      </c>
      <c r="AD43" s="57">
        <f t="shared" si="1"/>
        <v>0</v>
      </c>
      <c r="AE43" s="1"/>
      <c r="AF43" s="1"/>
      <c r="AG43" s="1"/>
      <c r="AH43" s="1"/>
      <c r="AI43" s="1"/>
      <c r="AJ43" s="1"/>
      <c r="AK43" s="1"/>
      <c r="AL43" s="1"/>
      <c r="AM43" s="1"/>
      <c r="AN43" s="1"/>
      <c r="AO43" s="1"/>
      <c r="AP43" s="1"/>
      <c r="AQ43" s="1"/>
      <c r="AR43" s="1"/>
      <c r="AS43" s="1"/>
      <c r="AT43" s="1"/>
      <c r="AU43" s="1"/>
      <c r="AV43" s="1"/>
      <c r="AW43" s="1"/>
      <c r="AX43" s="1"/>
      <c r="AY43" s="1"/>
    </row>
    <row r="44" spans="1:51" x14ac:dyDescent="0.25">
      <c r="A44" s="56"/>
      <c r="B44" s="57">
        <f>IF($B$14=0,0,$B$14*B6+$C$14*B7+$D$14*B8+$E$14*B9+$F$14*B10+$G$14*B11+$H$14*B12+$I$14*B13+$J$14*B14+$K$14*B15+$L$14*B16+$M$14*B17+$N$14*B18+$O$14*B19+$P$14*B20+$Q$14*B21+$R$14*B22+$S$14*B23+$T$14*B24+$U$14*B25+$V$14*B26+$W$14*B27+$X$14*B28+$Y$14*B29+$Z$14*B30+$AA$14*B31+$AB$14*B32)</f>
        <v>0</v>
      </c>
      <c r="C44" s="57">
        <f t="shared" ref="C44:AB44" si="10">IF($B$14=0,0,$B$14*C6+$C$14*C7+$D$14*C8+$E$14*C9+$F$14*C10+$G$14*C11+$H$14*C12+$I$14*C13+$J$14*C14+$K$14*C15+$L$14*C16+$M$14*C17+$N$14*C18+$O$14*C19+$P$14*C20+$Q$14*C21+$R$14*C22+$S$14*C23+$T$14*C24+$U$14*C25+$V$14*C26+$W$14*C27+$X$14*C28+$Y$14*C29+$Z$14*C30+$AA$14*C31+$AB$14*C32)</f>
        <v>0</v>
      </c>
      <c r="D44" s="57">
        <f t="shared" si="10"/>
        <v>0</v>
      </c>
      <c r="E44" s="57">
        <f t="shared" si="10"/>
        <v>0</v>
      </c>
      <c r="F44" s="57">
        <f t="shared" si="10"/>
        <v>0</v>
      </c>
      <c r="G44" s="57">
        <f t="shared" si="10"/>
        <v>0</v>
      </c>
      <c r="H44" s="57">
        <f t="shared" si="10"/>
        <v>0</v>
      </c>
      <c r="I44" s="57">
        <f t="shared" si="10"/>
        <v>0</v>
      </c>
      <c r="J44" s="57">
        <f t="shared" si="10"/>
        <v>0</v>
      </c>
      <c r="K44" s="57">
        <f t="shared" si="10"/>
        <v>0</v>
      </c>
      <c r="L44" s="57">
        <f t="shared" si="10"/>
        <v>0</v>
      </c>
      <c r="M44" s="57">
        <f t="shared" si="10"/>
        <v>0</v>
      </c>
      <c r="N44" s="57">
        <f t="shared" si="10"/>
        <v>0</v>
      </c>
      <c r="O44" s="57">
        <f t="shared" si="10"/>
        <v>0</v>
      </c>
      <c r="P44" s="57">
        <f t="shared" si="10"/>
        <v>0</v>
      </c>
      <c r="Q44" s="57">
        <f t="shared" si="10"/>
        <v>0</v>
      </c>
      <c r="R44" s="57">
        <f t="shared" si="10"/>
        <v>0</v>
      </c>
      <c r="S44" s="57">
        <f t="shared" si="10"/>
        <v>0</v>
      </c>
      <c r="T44" s="57">
        <f t="shared" si="10"/>
        <v>0</v>
      </c>
      <c r="U44" s="57">
        <f t="shared" si="10"/>
        <v>0</v>
      </c>
      <c r="V44" s="57">
        <f t="shared" si="10"/>
        <v>0</v>
      </c>
      <c r="W44" s="57">
        <f t="shared" si="10"/>
        <v>0</v>
      </c>
      <c r="X44" s="57">
        <f t="shared" si="10"/>
        <v>0</v>
      </c>
      <c r="Y44" s="57">
        <f t="shared" si="10"/>
        <v>0</v>
      </c>
      <c r="Z44" s="57">
        <f t="shared" si="10"/>
        <v>0</v>
      </c>
      <c r="AA44" s="57">
        <f t="shared" si="10"/>
        <v>0</v>
      </c>
      <c r="AB44" s="57">
        <f t="shared" si="10"/>
        <v>0</v>
      </c>
      <c r="AC44" s="57">
        <f t="shared" si="3"/>
        <v>0</v>
      </c>
      <c r="AD44" s="57">
        <f t="shared" si="1"/>
        <v>0</v>
      </c>
      <c r="AE44" s="1"/>
      <c r="AF44" s="1"/>
      <c r="AG44" s="1"/>
      <c r="AH44" s="1"/>
      <c r="AI44" s="1"/>
      <c r="AJ44" s="1"/>
      <c r="AK44" s="1"/>
      <c r="AL44" s="1"/>
      <c r="AM44" s="1"/>
      <c r="AN44" s="1"/>
      <c r="AO44" s="1"/>
      <c r="AP44" s="1"/>
      <c r="AQ44" s="1"/>
      <c r="AR44" s="1"/>
      <c r="AS44" s="1"/>
      <c r="AT44" s="1"/>
      <c r="AU44" s="1"/>
      <c r="AV44" s="1"/>
      <c r="AW44" s="1"/>
      <c r="AX44" s="1"/>
      <c r="AY44" s="1"/>
    </row>
    <row r="45" spans="1:51" x14ac:dyDescent="0.25">
      <c r="A45" s="56"/>
      <c r="B45" s="57">
        <f>IF($B$15=0,0,$B$15*B6+$C$15*B7+$D$15*B8+$E$15*B9+$F$15*B10+$G$15*B11+$H$15*B12+$I$15*B13+$J$15*B14+$K$15*B15+$L$15*B16+$M$15*B17+$N$15*B18+$O$15*B19+$P$15*B20+$Q$15*B21+$R$15*B22+$S$15*B23+$T$15*B24+$U$15*B25+$V$15*B26+$W$15*B27+$X$15*B28+$Y$15*B29+$Z$15*B30+$AA$15*B31+$AB$15*B32)</f>
        <v>0</v>
      </c>
      <c r="C45" s="57">
        <f t="shared" ref="C45:AB45" si="11">IF($B$15=0,0,$B$15*C6+$C$15*C7+$D$15*C8+$E$15*C9+$F$15*C10+$G$15*C11+$H$15*C12+$I$15*C13+$J$15*C14+$K$15*C15+$L$15*C16+$M$15*C17+$N$15*C18+$O$15*C19+$P$15*C20+$Q$15*C21+$R$15*C22+$S$15*C23+$T$15*C24+$U$15*C25+$V$15*C26+$W$15*C27+$X$15*C28+$Y$15*C29+$Z$15*C30+$AA$15*C31+$AB$15*C32)</f>
        <v>0</v>
      </c>
      <c r="D45" s="57">
        <f t="shared" si="11"/>
        <v>0</v>
      </c>
      <c r="E45" s="57">
        <f t="shared" si="11"/>
        <v>0</v>
      </c>
      <c r="F45" s="57">
        <f t="shared" si="11"/>
        <v>0</v>
      </c>
      <c r="G45" s="57">
        <f t="shared" si="11"/>
        <v>0</v>
      </c>
      <c r="H45" s="57">
        <f t="shared" si="11"/>
        <v>0</v>
      </c>
      <c r="I45" s="57">
        <f t="shared" si="11"/>
        <v>0</v>
      </c>
      <c r="J45" s="57">
        <f t="shared" si="11"/>
        <v>0</v>
      </c>
      <c r="K45" s="57">
        <f t="shared" si="11"/>
        <v>0</v>
      </c>
      <c r="L45" s="57">
        <f t="shared" si="11"/>
        <v>0</v>
      </c>
      <c r="M45" s="57">
        <f t="shared" si="11"/>
        <v>0</v>
      </c>
      <c r="N45" s="57">
        <f t="shared" si="11"/>
        <v>0</v>
      </c>
      <c r="O45" s="57">
        <f t="shared" si="11"/>
        <v>0</v>
      </c>
      <c r="P45" s="57">
        <f t="shared" si="11"/>
        <v>0</v>
      </c>
      <c r="Q45" s="57">
        <f t="shared" si="11"/>
        <v>0</v>
      </c>
      <c r="R45" s="57">
        <f t="shared" si="11"/>
        <v>0</v>
      </c>
      <c r="S45" s="57">
        <f t="shared" si="11"/>
        <v>0</v>
      </c>
      <c r="T45" s="57">
        <f t="shared" si="11"/>
        <v>0</v>
      </c>
      <c r="U45" s="57">
        <f t="shared" si="11"/>
        <v>0</v>
      </c>
      <c r="V45" s="57">
        <f t="shared" si="11"/>
        <v>0</v>
      </c>
      <c r="W45" s="57">
        <f t="shared" si="11"/>
        <v>0</v>
      </c>
      <c r="X45" s="57">
        <f t="shared" si="11"/>
        <v>0</v>
      </c>
      <c r="Y45" s="57">
        <f t="shared" si="11"/>
        <v>0</v>
      </c>
      <c r="Z45" s="57">
        <f t="shared" si="11"/>
        <v>0</v>
      </c>
      <c r="AA45" s="57">
        <f t="shared" si="11"/>
        <v>0</v>
      </c>
      <c r="AB45" s="57">
        <f t="shared" si="11"/>
        <v>0</v>
      </c>
      <c r="AC45" s="57">
        <f t="shared" si="3"/>
        <v>0</v>
      </c>
      <c r="AD45" s="57">
        <f t="shared" si="1"/>
        <v>0</v>
      </c>
      <c r="AE45" s="1"/>
      <c r="AF45" s="1"/>
      <c r="AG45" s="1"/>
      <c r="AH45" s="1"/>
      <c r="AI45" s="1"/>
      <c r="AJ45" s="1"/>
      <c r="AK45" s="1"/>
      <c r="AL45" s="1"/>
      <c r="AM45" s="1"/>
      <c r="AN45" s="1"/>
      <c r="AO45" s="1"/>
      <c r="AP45" s="1"/>
      <c r="AQ45" s="1"/>
      <c r="AR45" s="1"/>
      <c r="AS45" s="1"/>
      <c r="AT45" s="1"/>
      <c r="AU45" s="1"/>
      <c r="AV45" s="1"/>
      <c r="AW45" s="1"/>
      <c r="AX45" s="1"/>
      <c r="AY45" s="1"/>
    </row>
    <row r="46" spans="1:51" x14ac:dyDescent="0.25">
      <c r="A46" s="56"/>
      <c r="B46" s="57">
        <f>IF($B$16=0,0,$B$16*B6+$C$16*B7+$D$16*B8+$E$16*B9+$F$16*B10+$G$16*B11+$H$16*B12+$I$16*B13+$J$16*B14+$K$16*B15+$L$16*B16+$M$16*B17+$N$16*B18+$O$16*B19+$P$16*B20+$Q$16*B21+$R$16*B22+$S$16*B23+$T$16*B24+$U$16*B25+$V$16*B26+$W$16*B27+$X$16*B28+$Y$16*B29+$Z$16*B30+$AA$16*B31+$AB$16*B32)</f>
        <v>0</v>
      </c>
      <c r="C46" s="57">
        <f t="shared" ref="C46:AB46" si="12">IF($B$16=0,0,$B$16*C6+$C$16*C7+$D$16*C8+$E$16*C9+$F$16*C10+$G$16*C11+$H$16*C12+$I$16*C13+$J$16*C14+$K$16*C15+$L$16*C16+$M$16*C17+$N$16*C18+$O$16*C19+$P$16*C20+$Q$16*C21+$R$16*C22+$S$16*C23+$T$16*C24+$U$16*C25+$V$16*C26+$W$16*C27+$X$16*C28+$Y$16*C29+$Z$16*C30+$AA$16*C31+$AB$16*C32)</f>
        <v>0</v>
      </c>
      <c r="D46" s="57">
        <f t="shared" si="12"/>
        <v>0</v>
      </c>
      <c r="E46" s="57">
        <f t="shared" si="12"/>
        <v>0</v>
      </c>
      <c r="F46" s="57">
        <f t="shared" si="12"/>
        <v>0</v>
      </c>
      <c r="G46" s="57">
        <f t="shared" si="12"/>
        <v>0</v>
      </c>
      <c r="H46" s="57">
        <f t="shared" si="12"/>
        <v>0</v>
      </c>
      <c r="I46" s="57">
        <f t="shared" si="12"/>
        <v>0</v>
      </c>
      <c r="J46" s="57">
        <f t="shared" si="12"/>
        <v>0</v>
      </c>
      <c r="K46" s="57">
        <f t="shared" si="12"/>
        <v>0</v>
      </c>
      <c r="L46" s="57">
        <f t="shared" si="12"/>
        <v>0</v>
      </c>
      <c r="M46" s="57">
        <f t="shared" si="12"/>
        <v>0</v>
      </c>
      <c r="N46" s="57">
        <f t="shared" si="12"/>
        <v>0</v>
      </c>
      <c r="O46" s="57">
        <f t="shared" si="12"/>
        <v>0</v>
      </c>
      <c r="P46" s="57">
        <f t="shared" si="12"/>
        <v>0</v>
      </c>
      <c r="Q46" s="57">
        <f t="shared" si="12"/>
        <v>0</v>
      </c>
      <c r="R46" s="57">
        <f t="shared" si="12"/>
        <v>0</v>
      </c>
      <c r="S46" s="57">
        <f t="shared" si="12"/>
        <v>0</v>
      </c>
      <c r="T46" s="57">
        <f t="shared" si="12"/>
        <v>0</v>
      </c>
      <c r="U46" s="57">
        <f t="shared" si="12"/>
        <v>0</v>
      </c>
      <c r="V46" s="57">
        <f t="shared" si="12"/>
        <v>0</v>
      </c>
      <c r="W46" s="57">
        <f t="shared" si="12"/>
        <v>0</v>
      </c>
      <c r="X46" s="57">
        <f t="shared" si="12"/>
        <v>0</v>
      </c>
      <c r="Y46" s="57">
        <f t="shared" si="12"/>
        <v>0</v>
      </c>
      <c r="Z46" s="57">
        <f t="shared" si="12"/>
        <v>0</v>
      </c>
      <c r="AA46" s="57">
        <f t="shared" si="12"/>
        <v>0</v>
      </c>
      <c r="AB46" s="57">
        <f t="shared" si="12"/>
        <v>0</v>
      </c>
      <c r="AC46" s="57">
        <f t="shared" si="3"/>
        <v>0</v>
      </c>
      <c r="AD46" s="57">
        <f t="shared" si="1"/>
        <v>0</v>
      </c>
      <c r="AE46" s="1"/>
      <c r="AF46" s="1"/>
      <c r="AG46" s="1"/>
      <c r="AH46" s="1"/>
      <c r="AI46" s="1"/>
      <c r="AJ46" s="1"/>
      <c r="AK46" s="1"/>
      <c r="AL46" s="1"/>
      <c r="AM46" s="1"/>
      <c r="AN46" s="1"/>
      <c r="AO46" s="1"/>
      <c r="AP46" s="1"/>
      <c r="AQ46" s="1"/>
      <c r="AR46" s="1"/>
      <c r="AS46" s="1"/>
      <c r="AT46" s="1"/>
      <c r="AU46" s="1"/>
      <c r="AV46" s="1"/>
      <c r="AW46" s="1"/>
      <c r="AX46" s="1"/>
      <c r="AY46" s="1"/>
    </row>
    <row r="47" spans="1:51" x14ac:dyDescent="0.25">
      <c r="A47" s="56"/>
      <c r="B47" s="57">
        <f>IF($B$17=0,0,$B$17*B6+$C$17*B7+$D$17*B8+$E$17*B9+$F$17*B10+$G$17*B11+$H$17*B12+$I$17*B13+$J$17*B14+$K$17*B15+$L$17*B16+$M$17*B17+$N$17*B18+$O$17*B19+$P$17*B20+$Q$17*B21+$R$17*B22+$S$17*B23+$T$17*B24+$U$17*B25+$V$17*B26+$W$17*B27+$X$17*B28+$Y$17*B29+$Z$17*B30+$AA$17*B31+$AB$17*B32)</f>
        <v>0</v>
      </c>
      <c r="C47" s="57">
        <f t="shared" ref="C47:AB47" si="13">IF($B$17=0,0,$B$17*C6+$C$17*C7+$D$17*C8+$E$17*C9+$F$17*C10+$G$17*C11+$H$17*C12+$I$17*C13+$J$17*C14+$K$17*C15+$L$17*C16+$M$17*C17+$N$17*C18+$O$17*C19+$P$17*C20+$Q$17*C21+$R$17*C22+$S$17*C23+$T$17*C24+$U$17*C25+$V$17*C26+$W$17*C27+$X$17*C28+$Y$17*C29+$Z$17*C30+$AA$17*C31+$AB$17*C32)</f>
        <v>0</v>
      </c>
      <c r="D47" s="57">
        <f t="shared" si="13"/>
        <v>0</v>
      </c>
      <c r="E47" s="57">
        <f t="shared" si="13"/>
        <v>0</v>
      </c>
      <c r="F47" s="57">
        <f t="shared" si="13"/>
        <v>0</v>
      </c>
      <c r="G47" s="57">
        <f t="shared" si="13"/>
        <v>0</v>
      </c>
      <c r="H47" s="57">
        <f t="shared" si="13"/>
        <v>0</v>
      </c>
      <c r="I47" s="57">
        <f t="shared" si="13"/>
        <v>0</v>
      </c>
      <c r="J47" s="57">
        <f t="shared" si="13"/>
        <v>0</v>
      </c>
      <c r="K47" s="57">
        <f t="shared" si="13"/>
        <v>0</v>
      </c>
      <c r="L47" s="57">
        <f t="shared" si="13"/>
        <v>0</v>
      </c>
      <c r="M47" s="57">
        <f t="shared" si="13"/>
        <v>0</v>
      </c>
      <c r="N47" s="57">
        <f t="shared" si="13"/>
        <v>0</v>
      </c>
      <c r="O47" s="57">
        <f t="shared" si="13"/>
        <v>0</v>
      </c>
      <c r="P47" s="57">
        <f t="shared" si="13"/>
        <v>0</v>
      </c>
      <c r="Q47" s="57">
        <f t="shared" si="13"/>
        <v>0</v>
      </c>
      <c r="R47" s="57">
        <f t="shared" si="13"/>
        <v>0</v>
      </c>
      <c r="S47" s="57">
        <f t="shared" si="13"/>
        <v>0</v>
      </c>
      <c r="T47" s="57">
        <f t="shared" si="13"/>
        <v>0</v>
      </c>
      <c r="U47" s="57">
        <f t="shared" si="13"/>
        <v>0</v>
      </c>
      <c r="V47" s="57">
        <f t="shared" si="13"/>
        <v>0</v>
      </c>
      <c r="W47" s="57">
        <f t="shared" si="13"/>
        <v>0</v>
      </c>
      <c r="X47" s="57">
        <f t="shared" si="13"/>
        <v>0</v>
      </c>
      <c r="Y47" s="57">
        <f t="shared" si="13"/>
        <v>0</v>
      </c>
      <c r="Z47" s="57">
        <f t="shared" si="13"/>
        <v>0</v>
      </c>
      <c r="AA47" s="57">
        <f t="shared" si="13"/>
        <v>0</v>
      </c>
      <c r="AB47" s="57">
        <f t="shared" si="13"/>
        <v>0</v>
      </c>
      <c r="AC47" s="57">
        <f t="shared" si="3"/>
        <v>0</v>
      </c>
      <c r="AD47" s="57">
        <f t="shared" si="1"/>
        <v>0</v>
      </c>
      <c r="AE47" s="1"/>
      <c r="AF47" s="1"/>
      <c r="AG47" s="1"/>
      <c r="AH47" s="1"/>
      <c r="AI47" s="1"/>
      <c r="AJ47" s="1"/>
      <c r="AK47" s="1"/>
      <c r="AL47" s="1"/>
      <c r="AM47" s="1"/>
      <c r="AN47" s="1"/>
      <c r="AO47" s="1"/>
      <c r="AP47" s="1"/>
      <c r="AQ47" s="1"/>
      <c r="AR47" s="1"/>
      <c r="AS47" s="1"/>
      <c r="AT47" s="1"/>
      <c r="AU47" s="1"/>
      <c r="AV47" s="1"/>
      <c r="AW47" s="1"/>
      <c r="AX47" s="1"/>
      <c r="AY47" s="1"/>
    </row>
    <row r="48" spans="1:51" x14ac:dyDescent="0.25">
      <c r="A48" s="56"/>
      <c r="B48" s="57">
        <f>IF($B$18=0,0,$B$18*B6+$C$18*B7+$D$18*B8+$E$18*B9+$F$18*B10+$G$18*B11+$H$18*B12+$I$18*B13+$J$18*B14+$K$18*B15+$L$18*B16+$M$18*B17+$N$18*B18+$O$18*B19+$P$18*B20+$Q$18*B21+$R$18*B22+$S$18*B23+$T$18*B24+$U$18*B25+$V$18*B26+$W$18*B27+$X$18*B28+$Y$18*B29+$Z$18*B30+$AA$18*B31+$AB$18*B32)</f>
        <v>0</v>
      </c>
      <c r="C48" s="57">
        <f t="shared" ref="C48:AB48" si="14">IF($B$18=0,0,$B$18*C6+$C$18*C7+$D$18*C8+$E$18*C9+$F$18*C10+$G$18*C11+$H$18*C12+$I$18*C13+$J$18*C14+$K$18*C15+$L$18*C16+$M$18*C17+$N$18*C18+$O$18*C19+$P$18*C20+$Q$18*C21+$R$18*C22+$S$18*C23+$T$18*C24+$U$18*C25+$V$18*C26+$W$18*C27+$X$18*C28+$Y$18*C29+$Z$18*C30+$AA$18*C31+$AB$18*C32)</f>
        <v>0</v>
      </c>
      <c r="D48" s="57">
        <f t="shared" si="14"/>
        <v>0</v>
      </c>
      <c r="E48" s="57">
        <f t="shared" si="14"/>
        <v>0</v>
      </c>
      <c r="F48" s="57">
        <f t="shared" si="14"/>
        <v>0</v>
      </c>
      <c r="G48" s="57">
        <f t="shared" si="14"/>
        <v>0</v>
      </c>
      <c r="H48" s="57">
        <f t="shared" si="14"/>
        <v>0</v>
      </c>
      <c r="I48" s="57">
        <f t="shared" si="14"/>
        <v>0</v>
      </c>
      <c r="J48" s="57">
        <f t="shared" si="14"/>
        <v>0</v>
      </c>
      <c r="K48" s="57">
        <f t="shared" si="14"/>
        <v>0</v>
      </c>
      <c r="L48" s="57">
        <f t="shared" si="14"/>
        <v>0</v>
      </c>
      <c r="M48" s="57">
        <f t="shared" si="14"/>
        <v>0</v>
      </c>
      <c r="N48" s="57">
        <f t="shared" si="14"/>
        <v>0</v>
      </c>
      <c r="O48" s="57">
        <f t="shared" si="14"/>
        <v>0</v>
      </c>
      <c r="P48" s="57">
        <f t="shared" si="14"/>
        <v>0</v>
      </c>
      <c r="Q48" s="57">
        <f t="shared" si="14"/>
        <v>0</v>
      </c>
      <c r="R48" s="57">
        <f t="shared" si="14"/>
        <v>0</v>
      </c>
      <c r="S48" s="57">
        <f t="shared" si="14"/>
        <v>0</v>
      </c>
      <c r="T48" s="57">
        <f t="shared" si="14"/>
        <v>0</v>
      </c>
      <c r="U48" s="57">
        <f t="shared" si="14"/>
        <v>0</v>
      </c>
      <c r="V48" s="57">
        <f t="shared" si="14"/>
        <v>0</v>
      </c>
      <c r="W48" s="57">
        <f t="shared" si="14"/>
        <v>0</v>
      </c>
      <c r="X48" s="57">
        <f t="shared" si="14"/>
        <v>0</v>
      </c>
      <c r="Y48" s="57">
        <f t="shared" si="14"/>
        <v>0</v>
      </c>
      <c r="Z48" s="57">
        <f t="shared" si="14"/>
        <v>0</v>
      </c>
      <c r="AA48" s="57">
        <f t="shared" si="14"/>
        <v>0</v>
      </c>
      <c r="AB48" s="57">
        <f t="shared" si="14"/>
        <v>0</v>
      </c>
      <c r="AC48" s="57">
        <f t="shared" si="3"/>
        <v>0</v>
      </c>
      <c r="AD48" s="57">
        <f t="shared" si="1"/>
        <v>0</v>
      </c>
      <c r="AE48" s="1"/>
      <c r="AF48" s="1"/>
      <c r="AG48" s="1"/>
      <c r="AH48" s="1"/>
      <c r="AI48" s="1"/>
      <c r="AJ48" s="1"/>
      <c r="AK48" s="1"/>
      <c r="AL48" s="1"/>
      <c r="AM48" s="1"/>
      <c r="AN48" s="1"/>
      <c r="AO48" s="1"/>
      <c r="AP48" s="1"/>
      <c r="AQ48" s="1"/>
      <c r="AR48" s="1"/>
      <c r="AS48" s="1"/>
      <c r="AT48" s="1"/>
      <c r="AU48" s="1"/>
      <c r="AV48" s="1"/>
      <c r="AW48" s="1"/>
      <c r="AX48" s="1"/>
      <c r="AY48" s="1"/>
    </row>
    <row r="49" spans="1:51" x14ac:dyDescent="0.25">
      <c r="A49" s="56"/>
      <c r="B49" s="57">
        <f>IF($B$19=0,0,$B$19*B6+$C$19*B7+$D$19*B8+$E$19*B9+$F$19*B10+$G$19*B11+$H$19*B12+$I$19*B13+$J$19*B14+$K$19*B15+$L$19*B16+$M$19*B17+$N$19*B18+$O$19*B19+$P$19*B20+$Q$19*B21+$R$19*B22+$S$19*B23+$T$19*B24+$U$19*B25+$V$19*B26+$W$19*B27+$X$19*B28+$Y$19*B29+$Z$19*B30+$AA$19*B31+$AB$19*B32)</f>
        <v>0</v>
      </c>
      <c r="C49" s="57">
        <f t="shared" ref="C49:AB49" si="15">IF($B$19=0,0,$B$19*C6+$C$19*C7+$D$19*C8+$E$19*C9+$F$19*C10+$G$19*C11+$H$19*C12+$I$19*C13+$J$19*C14+$K$19*C15+$L$19*C16+$M$19*C17+$N$19*C18+$O$19*C19+$P$19*C20+$Q$19*C21+$R$19*C22+$S$19*C23+$T$19*C24+$U$19*C25+$V$19*C26+$W$19*C27+$X$19*C28+$Y$19*C29+$Z$19*C30+$AA$19*C31+$AB$19*C32)</f>
        <v>0</v>
      </c>
      <c r="D49" s="57">
        <f t="shared" si="15"/>
        <v>0</v>
      </c>
      <c r="E49" s="57">
        <f t="shared" si="15"/>
        <v>0</v>
      </c>
      <c r="F49" s="57">
        <f t="shared" si="15"/>
        <v>0</v>
      </c>
      <c r="G49" s="57">
        <f t="shared" si="15"/>
        <v>0</v>
      </c>
      <c r="H49" s="57">
        <f t="shared" si="15"/>
        <v>0</v>
      </c>
      <c r="I49" s="57">
        <f t="shared" si="15"/>
        <v>0</v>
      </c>
      <c r="J49" s="57">
        <f t="shared" si="15"/>
        <v>0</v>
      </c>
      <c r="K49" s="57">
        <f t="shared" si="15"/>
        <v>0</v>
      </c>
      <c r="L49" s="57">
        <f t="shared" si="15"/>
        <v>0</v>
      </c>
      <c r="M49" s="57">
        <f t="shared" si="15"/>
        <v>0</v>
      </c>
      <c r="N49" s="57">
        <f t="shared" si="15"/>
        <v>0</v>
      </c>
      <c r="O49" s="57">
        <f t="shared" si="15"/>
        <v>0</v>
      </c>
      <c r="P49" s="57">
        <f t="shared" si="15"/>
        <v>0</v>
      </c>
      <c r="Q49" s="57">
        <f t="shared" si="15"/>
        <v>0</v>
      </c>
      <c r="R49" s="57">
        <f t="shared" si="15"/>
        <v>0</v>
      </c>
      <c r="S49" s="57">
        <f t="shared" si="15"/>
        <v>0</v>
      </c>
      <c r="T49" s="57">
        <f t="shared" si="15"/>
        <v>0</v>
      </c>
      <c r="U49" s="57">
        <f t="shared" si="15"/>
        <v>0</v>
      </c>
      <c r="V49" s="57">
        <f t="shared" si="15"/>
        <v>0</v>
      </c>
      <c r="W49" s="57">
        <f t="shared" si="15"/>
        <v>0</v>
      </c>
      <c r="X49" s="57">
        <f t="shared" si="15"/>
        <v>0</v>
      </c>
      <c r="Y49" s="57">
        <f t="shared" si="15"/>
        <v>0</v>
      </c>
      <c r="Z49" s="57">
        <f t="shared" si="15"/>
        <v>0</v>
      </c>
      <c r="AA49" s="57">
        <f t="shared" si="15"/>
        <v>0</v>
      </c>
      <c r="AB49" s="57">
        <f t="shared" si="15"/>
        <v>0</v>
      </c>
      <c r="AC49" s="57">
        <f t="shared" si="3"/>
        <v>0</v>
      </c>
      <c r="AD49" s="57">
        <f t="shared" si="1"/>
        <v>0</v>
      </c>
      <c r="AE49" s="1"/>
      <c r="AF49" s="1"/>
      <c r="AG49" s="1"/>
      <c r="AH49" s="1"/>
      <c r="AI49" s="1"/>
      <c r="AJ49" s="1"/>
      <c r="AK49" s="1"/>
      <c r="AL49" s="1"/>
      <c r="AM49" s="1"/>
      <c r="AN49" s="1"/>
      <c r="AO49" s="1"/>
      <c r="AP49" s="1"/>
      <c r="AQ49" s="1"/>
      <c r="AR49" s="1"/>
      <c r="AS49" s="1"/>
      <c r="AT49" s="1"/>
      <c r="AU49" s="1"/>
      <c r="AV49" s="1"/>
      <c r="AW49" s="1"/>
      <c r="AX49" s="1"/>
      <c r="AY49" s="1"/>
    </row>
    <row r="50" spans="1:51" x14ac:dyDescent="0.25">
      <c r="A50" s="56"/>
      <c r="B50" s="57">
        <f>IF($B$20=0,0,$B$20*B6+$C$20*B7+$D$20*B8+$E$20*B9+$F$20*B10+$G$20*B11+$H$20*B12+$I$20*B13+$J$20*B14+$K$20*B15+$L$20*B16+$M$20*B17+$N$20*B18+$O$20*B19+$P$20*B20+$Q$20*B21+$R$20*B22+$S$20*B23+$T$20*B24+$U$20*B25+$V$20*B26+$W$20*B27+$X$20*B28+$Y$20*B29+$Z$20*B30+$AA$20*B31+$AB$20*B32)</f>
        <v>0</v>
      </c>
      <c r="C50" s="57">
        <f t="shared" ref="C50:AB50" si="16">IF($B$20=0,0,$B$20*C6+$C$20*C7+$D$20*C8+$E$20*C9+$F$20*C10+$G$20*C11+$H$20*C12+$I$20*C13+$J$20*C14+$K$20*C15+$L$20*C16+$M$20*C17+$N$20*C18+$O$20*C19+$P$20*C20+$Q$20*C21+$R$20*C22+$S$20*C23+$T$20*C24+$U$20*C25+$V$20*C26+$W$20*C27+$X$20*C28+$Y$20*C29+$Z$20*C30+$AA$20*C31+$AB$20*C32)</f>
        <v>0</v>
      </c>
      <c r="D50" s="57">
        <f t="shared" si="16"/>
        <v>0</v>
      </c>
      <c r="E50" s="57">
        <f t="shared" si="16"/>
        <v>0</v>
      </c>
      <c r="F50" s="57">
        <f t="shared" si="16"/>
        <v>0</v>
      </c>
      <c r="G50" s="57">
        <f t="shared" si="16"/>
        <v>0</v>
      </c>
      <c r="H50" s="57">
        <f t="shared" si="16"/>
        <v>0</v>
      </c>
      <c r="I50" s="57">
        <f t="shared" si="16"/>
        <v>0</v>
      </c>
      <c r="J50" s="57">
        <f t="shared" si="16"/>
        <v>0</v>
      </c>
      <c r="K50" s="57">
        <f t="shared" si="16"/>
        <v>0</v>
      </c>
      <c r="L50" s="57">
        <f t="shared" si="16"/>
        <v>0</v>
      </c>
      <c r="M50" s="57">
        <f t="shared" si="16"/>
        <v>0</v>
      </c>
      <c r="N50" s="57">
        <f t="shared" si="16"/>
        <v>0</v>
      </c>
      <c r="O50" s="57">
        <f t="shared" si="16"/>
        <v>0</v>
      </c>
      <c r="P50" s="57">
        <f t="shared" si="16"/>
        <v>0</v>
      </c>
      <c r="Q50" s="57">
        <f t="shared" si="16"/>
        <v>0</v>
      </c>
      <c r="R50" s="57">
        <f t="shared" si="16"/>
        <v>0</v>
      </c>
      <c r="S50" s="57">
        <f t="shared" si="16"/>
        <v>0</v>
      </c>
      <c r="T50" s="57">
        <f t="shared" si="16"/>
        <v>0</v>
      </c>
      <c r="U50" s="57">
        <f t="shared" si="16"/>
        <v>0</v>
      </c>
      <c r="V50" s="57">
        <f t="shared" si="16"/>
        <v>0</v>
      </c>
      <c r="W50" s="57">
        <f t="shared" si="16"/>
        <v>0</v>
      </c>
      <c r="X50" s="57">
        <f t="shared" si="16"/>
        <v>0</v>
      </c>
      <c r="Y50" s="57">
        <f t="shared" si="16"/>
        <v>0</v>
      </c>
      <c r="Z50" s="57">
        <f t="shared" si="16"/>
        <v>0</v>
      </c>
      <c r="AA50" s="57">
        <f t="shared" si="16"/>
        <v>0</v>
      </c>
      <c r="AB50" s="57">
        <f t="shared" si="16"/>
        <v>0</v>
      </c>
      <c r="AC50" s="57">
        <f t="shared" si="3"/>
        <v>0</v>
      </c>
      <c r="AD50" s="57">
        <f t="shared" si="1"/>
        <v>0</v>
      </c>
      <c r="AE50" s="1"/>
      <c r="AF50" s="1"/>
      <c r="AG50" s="1"/>
      <c r="AH50" s="1"/>
      <c r="AI50" s="1"/>
      <c r="AJ50" s="1"/>
      <c r="AK50" s="1"/>
      <c r="AL50" s="1"/>
      <c r="AM50" s="1"/>
      <c r="AN50" s="1"/>
      <c r="AO50" s="1"/>
      <c r="AP50" s="1"/>
      <c r="AQ50" s="1"/>
      <c r="AR50" s="1"/>
      <c r="AS50" s="1"/>
      <c r="AT50" s="1"/>
      <c r="AU50" s="1"/>
      <c r="AV50" s="1"/>
      <c r="AW50" s="1"/>
      <c r="AX50" s="1"/>
      <c r="AY50" s="1"/>
    </row>
    <row r="51" spans="1:51" x14ac:dyDescent="0.25">
      <c r="A51" s="56"/>
      <c r="B51" s="57">
        <f>IF($B$21=0,0,$B$21*B6+$C$21*B7+$D$21*B8+$E$21*B9+$F$21*B10+$G$21*B11+$H$21*B12+$I$21*B13+$J$21*B14+$K$21*B15+$L$21*B16+$M$21*B17+$N$21*B18+$O$21*B19+$P$21*B20+$Q$21*B21+$R$21*B22+$S$21*B23+$T$21*B24+$U$21*B25+$V$21*B26+$W$21*B27+$X$21*B28+$Y$21*B29+$Z$21*B30+$AA$21*B31+$AB$21*B32)</f>
        <v>0</v>
      </c>
      <c r="C51" s="57">
        <f t="shared" ref="C51:AB51" si="17">IF($B$21=0,0,$B$21*C6+$C$21*C7+$D$21*C8+$E$21*C9+$F$21*C10+$G$21*C11+$H$21*C12+$I$21*C13+$J$21*C14+$K$21*C15+$L$21*C16+$M$21*C17+$N$21*C18+$O$21*C19+$P$21*C20+$Q$21*C21+$R$21*C22+$S$21*C23+$T$21*C24+$U$21*C25+$V$21*C26+$W$21*C27+$X$21*C28+$Y$21*C29+$Z$21*C30+$AA$21*C31+$AB$21*C32)</f>
        <v>0</v>
      </c>
      <c r="D51" s="57">
        <f t="shared" si="17"/>
        <v>0</v>
      </c>
      <c r="E51" s="57">
        <f t="shared" si="17"/>
        <v>0</v>
      </c>
      <c r="F51" s="57">
        <f t="shared" si="17"/>
        <v>0</v>
      </c>
      <c r="G51" s="57">
        <f t="shared" si="17"/>
        <v>0</v>
      </c>
      <c r="H51" s="57">
        <f t="shared" si="17"/>
        <v>0</v>
      </c>
      <c r="I51" s="57">
        <f t="shared" si="17"/>
        <v>0</v>
      </c>
      <c r="J51" s="57">
        <f t="shared" si="17"/>
        <v>0</v>
      </c>
      <c r="K51" s="57">
        <f t="shared" si="17"/>
        <v>0</v>
      </c>
      <c r="L51" s="57">
        <f t="shared" si="17"/>
        <v>0</v>
      </c>
      <c r="M51" s="57">
        <f t="shared" si="17"/>
        <v>0</v>
      </c>
      <c r="N51" s="57">
        <f t="shared" si="17"/>
        <v>0</v>
      </c>
      <c r="O51" s="57">
        <f t="shared" si="17"/>
        <v>0</v>
      </c>
      <c r="P51" s="57">
        <f t="shared" si="17"/>
        <v>0</v>
      </c>
      <c r="Q51" s="57">
        <f t="shared" si="17"/>
        <v>0</v>
      </c>
      <c r="R51" s="57">
        <f t="shared" si="17"/>
        <v>0</v>
      </c>
      <c r="S51" s="57">
        <f t="shared" si="17"/>
        <v>0</v>
      </c>
      <c r="T51" s="57">
        <f t="shared" si="17"/>
        <v>0</v>
      </c>
      <c r="U51" s="57">
        <f t="shared" si="17"/>
        <v>0</v>
      </c>
      <c r="V51" s="57">
        <f t="shared" si="17"/>
        <v>0</v>
      </c>
      <c r="W51" s="57">
        <f t="shared" si="17"/>
        <v>0</v>
      </c>
      <c r="X51" s="57">
        <f t="shared" si="17"/>
        <v>0</v>
      </c>
      <c r="Y51" s="57">
        <f t="shared" si="17"/>
        <v>0</v>
      </c>
      <c r="Z51" s="57">
        <f t="shared" si="17"/>
        <v>0</v>
      </c>
      <c r="AA51" s="57">
        <f t="shared" si="17"/>
        <v>0</v>
      </c>
      <c r="AB51" s="57">
        <f t="shared" si="17"/>
        <v>0</v>
      </c>
      <c r="AC51" s="57">
        <f t="shared" si="3"/>
        <v>0</v>
      </c>
      <c r="AD51" s="57">
        <f t="shared" si="1"/>
        <v>0</v>
      </c>
      <c r="AE51" s="1"/>
      <c r="AF51" s="1"/>
      <c r="AG51" s="1"/>
      <c r="AH51" s="1"/>
      <c r="AI51" s="1"/>
      <c r="AJ51" s="1"/>
      <c r="AK51" s="1"/>
      <c r="AL51" s="1"/>
      <c r="AM51" s="1"/>
      <c r="AN51" s="1"/>
      <c r="AO51" s="1"/>
      <c r="AP51" s="1"/>
      <c r="AQ51" s="1"/>
      <c r="AR51" s="1"/>
      <c r="AS51" s="1"/>
      <c r="AT51" s="1"/>
      <c r="AU51" s="1"/>
      <c r="AV51" s="1"/>
      <c r="AW51" s="1"/>
      <c r="AX51" s="1"/>
      <c r="AY51" s="1"/>
    </row>
    <row r="52" spans="1:51" x14ac:dyDescent="0.25">
      <c r="A52" s="56"/>
      <c r="B52" s="57">
        <f>IF($B$22=0,0,$B$22*B6+$C$22*B7+$D$22*B8+$E$22*B9+$F$22*B10+$G$22*B11+$H$22*B12+$I$22*B13+$J$22*B14+$K$22*B15+$L$22*B16+$M$22*B17+$N$22*B18+$O$22*B19+$P$22*B20+$Q$22*B21+$R$22*B22+$S$22*B23+$T$22*B24+$U$22*B25+$V$22*B26+$W$22*B27+$X$22*B28+$Y$22*B29+$Z$22*B30+$AA$22*B31+$AB$22*B32)</f>
        <v>0</v>
      </c>
      <c r="C52" s="57">
        <f t="shared" ref="C52:AB52" si="18">IF($B$22=0,0,$B$22*C6+$C$22*C7+$D$22*C8+$E$22*C9+$F$22*C10+$G$22*C11+$H$22*C12+$I$22*C13+$J$22*C14+$K$22*C15+$L$22*C16+$M$22*C17+$N$22*C18+$O$22*C19+$P$22*C20+$Q$22*C21+$R$22*C22+$S$22*C23+$T$22*C24+$U$22*C25+$V$22*C26+$W$22*C27+$X$22*C28+$Y$22*C29+$Z$22*C30+$AA$22*C31+$AB$22*C32)</f>
        <v>0</v>
      </c>
      <c r="D52" s="57">
        <f t="shared" si="18"/>
        <v>0</v>
      </c>
      <c r="E52" s="57">
        <f t="shared" si="18"/>
        <v>0</v>
      </c>
      <c r="F52" s="57">
        <f t="shared" si="18"/>
        <v>0</v>
      </c>
      <c r="G52" s="57">
        <f t="shared" si="18"/>
        <v>0</v>
      </c>
      <c r="H52" s="57">
        <f t="shared" si="18"/>
        <v>0</v>
      </c>
      <c r="I52" s="57">
        <f t="shared" si="18"/>
        <v>0</v>
      </c>
      <c r="J52" s="57">
        <f t="shared" si="18"/>
        <v>0</v>
      </c>
      <c r="K52" s="57">
        <f t="shared" si="18"/>
        <v>0</v>
      </c>
      <c r="L52" s="57">
        <f t="shared" si="18"/>
        <v>0</v>
      </c>
      <c r="M52" s="57">
        <f t="shared" si="18"/>
        <v>0</v>
      </c>
      <c r="N52" s="57">
        <f t="shared" si="18"/>
        <v>0</v>
      </c>
      <c r="O52" s="57">
        <f t="shared" si="18"/>
        <v>0</v>
      </c>
      <c r="P52" s="57">
        <f t="shared" si="18"/>
        <v>0</v>
      </c>
      <c r="Q52" s="57">
        <f t="shared" si="18"/>
        <v>0</v>
      </c>
      <c r="R52" s="57">
        <f t="shared" si="18"/>
        <v>0</v>
      </c>
      <c r="S52" s="57">
        <f t="shared" si="18"/>
        <v>0</v>
      </c>
      <c r="T52" s="57">
        <f t="shared" si="18"/>
        <v>0</v>
      </c>
      <c r="U52" s="57">
        <f t="shared" si="18"/>
        <v>0</v>
      </c>
      <c r="V52" s="57">
        <f t="shared" si="18"/>
        <v>0</v>
      </c>
      <c r="W52" s="57">
        <f t="shared" si="18"/>
        <v>0</v>
      </c>
      <c r="X52" s="57">
        <f t="shared" si="18"/>
        <v>0</v>
      </c>
      <c r="Y52" s="57">
        <f t="shared" si="18"/>
        <v>0</v>
      </c>
      <c r="Z52" s="57">
        <f t="shared" si="18"/>
        <v>0</v>
      </c>
      <c r="AA52" s="57">
        <f t="shared" si="18"/>
        <v>0</v>
      </c>
      <c r="AB52" s="57">
        <f t="shared" si="18"/>
        <v>0</v>
      </c>
      <c r="AC52" s="57">
        <f t="shared" si="3"/>
        <v>0</v>
      </c>
      <c r="AD52" s="57">
        <f t="shared" si="1"/>
        <v>0</v>
      </c>
      <c r="AE52" s="1"/>
      <c r="AF52" s="1"/>
      <c r="AG52" s="1"/>
      <c r="AH52" s="1"/>
      <c r="AI52" s="1"/>
      <c r="AJ52" s="1"/>
      <c r="AK52" s="1"/>
      <c r="AL52" s="1"/>
      <c r="AM52" s="1"/>
      <c r="AN52" s="1"/>
      <c r="AO52" s="1"/>
      <c r="AP52" s="1"/>
      <c r="AQ52" s="1"/>
      <c r="AR52" s="1"/>
      <c r="AS52" s="1"/>
      <c r="AT52" s="1"/>
      <c r="AU52" s="1"/>
      <c r="AV52" s="1"/>
      <c r="AW52" s="1"/>
      <c r="AX52" s="1"/>
      <c r="AY52" s="1"/>
    </row>
    <row r="53" spans="1:51" x14ac:dyDescent="0.25">
      <c r="A53" s="56"/>
      <c r="B53" s="57">
        <f>IF($B$23=0,0,$B$23*B6+$C$23*B7+$D$23*B8+$E$23*B9+$F$23*B10+$G$23*B11+$H$23*B12+$I$23*B13+$J$23*B14+$K$23*B15+$L$23*B16+$M$23*B17+$N$23*B18+$O$23*B19+$P$23*B20+$Q$23*B21+$R$23*B22+$S$23*B23+$T$23*B24+$U$23*B25+$V$23*B26+$W$23*B27+$X$23*B28+$Y$23*B29+$Z$23*B30+$AA$23*B31+$AB$23*B32)</f>
        <v>0</v>
      </c>
      <c r="C53" s="57">
        <f t="shared" ref="C53:AB53" si="19">IF($B$23=0,0,$B$23*C6+$C$23*C7+$D$23*C8+$E$23*C9+$F$23*C10+$G$23*C11+$H$23*C12+$I$23*C13+$J$23*C14+$K$23*C15+$L$23*C16+$M$23*C17+$N$23*C18+$O$23*C19+$P$23*C20+$Q$23*C21+$R$23*C22+$S$23*C23+$T$23*C24+$U$23*C25+$V$23*C26+$W$23*C27+$X$23*C28+$Y$23*C29+$Z$23*C30+$AA$23*C31+$AB$23*C32)</f>
        <v>0</v>
      </c>
      <c r="D53" s="57">
        <f t="shared" si="19"/>
        <v>0</v>
      </c>
      <c r="E53" s="57">
        <f t="shared" si="19"/>
        <v>0</v>
      </c>
      <c r="F53" s="57">
        <f t="shared" si="19"/>
        <v>0</v>
      </c>
      <c r="G53" s="57">
        <f t="shared" si="19"/>
        <v>0</v>
      </c>
      <c r="H53" s="57">
        <f t="shared" si="19"/>
        <v>0</v>
      </c>
      <c r="I53" s="57">
        <f t="shared" si="19"/>
        <v>0</v>
      </c>
      <c r="J53" s="57">
        <f t="shared" si="19"/>
        <v>0</v>
      </c>
      <c r="K53" s="57">
        <f t="shared" si="19"/>
        <v>0</v>
      </c>
      <c r="L53" s="57">
        <f t="shared" si="19"/>
        <v>0</v>
      </c>
      <c r="M53" s="57">
        <f t="shared" si="19"/>
        <v>0</v>
      </c>
      <c r="N53" s="57">
        <f t="shared" si="19"/>
        <v>0</v>
      </c>
      <c r="O53" s="57">
        <f t="shared" si="19"/>
        <v>0</v>
      </c>
      <c r="P53" s="57">
        <f t="shared" si="19"/>
        <v>0</v>
      </c>
      <c r="Q53" s="57">
        <f t="shared" si="19"/>
        <v>0</v>
      </c>
      <c r="R53" s="57">
        <f t="shared" si="19"/>
        <v>0</v>
      </c>
      <c r="S53" s="57">
        <f t="shared" si="19"/>
        <v>0</v>
      </c>
      <c r="T53" s="57">
        <f t="shared" si="19"/>
        <v>0</v>
      </c>
      <c r="U53" s="57">
        <f t="shared" si="19"/>
        <v>0</v>
      </c>
      <c r="V53" s="57">
        <f t="shared" si="19"/>
        <v>0</v>
      </c>
      <c r="W53" s="57">
        <f t="shared" si="19"/>
        <v>0</v>
      </c>
      <c r="X53" s="57">
        <f t="shared" si="19"/>
        <v>0</v>
      </c>
      <c r="Y53" s="57">
        <f t="shared" si="19"/>
        <v>0</v>
      </c>
      <c r="Z53" s="57">
        <f t="shared" si="19"/>
        <v>0</v>
      </c>
      <c r="AA53" s="57">
        <f t="shared" si="19"/>
        <v>0</v>
      </c>
      <c r="AB53" s="57">
        <f t="shared" si="19"/>
        <v>0</v>
      </c>
      <c r="AC53" s="57">
        <f t="shared" si="3"/>
        <v>0</v>
      </c>
      <c r="AD53" s="57">
        <f t="shared" si="1"/>
        <v>0</v>
      </c>
      <c r="AE53" s="1"/>
      <c r="AF53" s="1"/>
      <c r="AG53" s="1"/>
      <c r="AH53" s="1"/>
      <c r="AI53" s="1"/>
      <c r="AJ53" s="1"/>
      <c r="AK53" s="1"/>
      <c r="AL53" s="1"/>
      <c r="AM53" s="1"/>
      <c r="AN53" s="1"/>
      <c r="AO53" s="1"/>
      <c r="AP53" s="1"/>
      <c r="AQ53" s="1"/>
      <c r="AR53" s="1"/>
      <c r="AS53" s="1"/>
      <c r="AT53" s="1"/>
      <c r="AU53" s="1"/>
      <c r="AV53" s="1"/>
      <c r="AW53" s="1"/>
      <c r="AX53" s="1"/>
      <c r="AY53" s="1"/>
    </row>
    <row r="54" spans="1:51" x14ac:dyDescent="0.25">
      <c r="A54" s="56"/>
      <c r="B54" s="57">
        <f>IF($B$24=0,0,$B$24*B6+$C$24*B7+$D$24*B8+$E$24*B9+$F$24*B10+$G$24*B11+$H$24*B12+$I$24*B13+$J$24*B14+$K$24*B15+$L$24*B16+$M$24*B17+$N$24*B18+$O$24*B19+$P$24*B20+$Q$24*B21+$R$24*B22+$S$24*B23+$T$24*B24+$U$24*B25+$V$24*B26+$W$24*B27+$X$24*B28+$Y$24*B29+$Z$24*B30+$AA$24*B31+$AB$24*B32)</f>
        <v>0</v>
      </c>
      <c r="C54" s="57">
        <f t="shared" ref="C54:AB54" si="20">IF($B$24=0,0,$B$24*C6+$C$24*C7+$D$24*C8+$E$24*C9+$F$24*C10+$G$24*C11+$H$24*C12+$I$24*C13+$J$24*C14+$K$24*C15+$L$24*C16+$M$24*C17+$N$24*C18+$O$24*C19+$P$24*C20+$Q$24*C21+$R$24*C22+$S$24*C23+$T$24*C24+$U$24*C25+$V$24*C26+$W$24*C27+$X$24*C28+$Y$24*C29+$Z$24*C30+$AA$24*C31+$AB$24*C32)</f>
        <v>0</v>
      </c>
      <c r="D54" s="57">
        <f t="shared" si="20"/>
        <v>0</v>
      </c>
      <c r="E54" s="57">
        <f t="shared" si="20"/>
        <v>0</v>
      </c>
      <c r="F54" s="57">
        <f t="shared" si="20"/>
        <v>0</v>
      </c>
      <c r="G54" s="57">
        <f t="shared" si="20"/>
        <v>0</v>
      </c>
      <c r="H54" s="57">
        <f t="shared" si="20"/>
        <v>0</v>
      </c>
      <c r="I54" s="57">
        <f t="shared" si="20"/>
        <v>0</v>
      </c>
      <c r="J54" s="57">
        <f t="shared" si="20"/>
        <v>0</v>
      </c>
      <c r="K54" s="57">
        <f t="shared" si="20"/>
        <v>0</v>
      </c>
      <c r="L54" s="57">
        <f t="shared" si="20"/>
        <v>0</v>
      </c>
      <c r="M54" s="57">
        <f t="shared" si="20"/>
        <v>0</v>
      </c>
      <c r="N54" s="57">
        <f t="shared" si="20"/>
        <v>0</v>
      </c>
      <c r="O54" s="57">
        <f t="shared" si="20"/>
        <v>0</v>
      </c>
      <c r="P54" s="57">
        <f t="shared" si="20"/>
        <v>0</v>
      </c>
      <c r="Q54" s="57">
        <f t="shared" si="20"/>
        <v>0</v>
      </c>
      <c r="R54" s="57">
        <f t="shared" si="20"/>
        <v>0</v>
      </c>
      <c r="S54" s="57">
        <f t="shared" si="20"/>
        <v>0</v>
      </c>
      <c r="T54" s="57">
        <f t="shared" si="20"/>
        <v>0</v>
      </c>
      <c r="U54" s="57">
        <f t="shared" si="20"/>
        <v>0</v>
      </c>
      <c r="V54" s="57">
        <f t="shared" si="20"/>
        <v>0</v>
      </c>
      <c r="W54" s="57">
        <f t="shared" si="20"/>
        <v>0</v>
      </c>
      <c r="X54" s="57">
        <f t="shared" si="20"/>
        <v>0</v>
      </c>
      <c r="Y54" s="57">
        <f t="shared" si="20"/>
        <v>0</v>
      </c>
      <c r="Z54" s="57">
        <f t="shared" si="20"/>
        <v>0</v>
      </c>
      <c r="AA54" s="57">
        <f t="shared" si="20"/>
        <v>0</v>
      </c>
      <c r="AB54" s="57">
        <f t="shared" si="20"/>
        <v>0</v>
      </c>
      <c r="AC54" s="57">
        <f t="shared" si="3"/>
        <v>0</v>
      </c>
      <c r="AD54" s="57">
        <f t="shared" si="1"/>
        <v>0</v>
      </c>
      <c r="AE54" s="1"/>
      <c r="AF54" s="1"/>
      <c r="AG54" s="1"/>
      <c r="AH54" s="1"/>
      <c r="AI54" s="1"/>
      <c r="AJ54" s="1"/>
      <c r="AK54" s="1"/>
      <c r="AL54" s="1"/>
      <c r="AM54" s="1"/>
      <c r="AN54" s="1"/>
      <c r="AO54" s="1"/>
      <c r="AP54" s="1"/>
      <c r="AQ54" s="1"/>
      <c r="AR54" s="1"/>
      <c r="AS54" s="1"/>
      <c r="AT54" s="1"/>
      <c r="AU54" s="1"/>
      <c r="AV54" s="1"/>
      <c r="AW54" s="1"/>
      <c r="AX54" s="1"/>
      <c r="AY54" s="1"/>
    </row>
    <row r="55" spans="1:51" x14ac:dyDescent="0.25">
      <c r="A55" s="56"/>
      <c r="B55" s="57">
        <f>IF($B$25=0,0,$B$25*B6+$C$25*B7+$D$25*B8+$E$25*B9+$F$25*B10+$G$25*B11+$H$25*B12+$I$25*B13+$J$25*B14+$K$25*B15+$L$25*B16+$M$25*B17+$N$25*B18+$O$25*B19+$P$25*B20+$Q$25*B21+$R$25*B22+$S$25*B23+$T$25*B24+$U$25*B25+$V$25*B26+$W$25*B27+$X$25*B28+$Y$25*B29+$Z$25*B30+$AA$25*B31+$AB$25*B32)</f>
        <v>0</v>
      </c>
      <c r="C55" s="57">
        <f t="shared" ref="C55:AB55" si="21">IF($B$25=0,0,$B$25*C6+$C$25*C7+$D$25*C8+$E$25*C9+$F$25*C10+$G$25*C11+$H$25*C12+$I$25*C13+$J$25*C14+$K$25*C15+$L$25*C16+$M$25*C17+$N$25*C18+$O$25*C19+$P$25*C20+$Q$25*C21+$R$25*C22+$S$25*C23+$T$25*C24+$U$25*C25+$V$25*C26+$W$25*C27+$X$25*C28+$Y$25*C29+$Z$25*C30+$AA$25*C31+$AB$25*C32)</f>
        <v>0</v>
      </c>
      <c r="D55" s="57">
        <f t="shared" si="21"/>
        <v>0</v>
      </c>
      <c r="E55" s="57">
        <f t="shared" si="21"/>
        <v>0</v>
      </c>
      <c r="F55" s="57">
        <f t="shared" si="21"/>
        <v>0</v>
      </c>
      <c r="G55" s="57">
        <f t="shared" si="21"/>
        <v>0</v>
      </c>
      <c r="H55" s="57">
        <f t="shared" si="21"/>
        <v>0</v>
      </c>
      <c r="I55" s="57">
        <f t="shared" si="21"/>
        <v>0</v>
      </c>
      <c r="J55" s="57">
        <f t="shared" si="21"/>
        <v>0</v>
      </c>
      <c r="K55" s="57">
        <f t="shared" si="21"/>
        <v>0</v>
      </c>
      <c r="L55" s="57">
        <f t="shared" si="21"/>
        <v>0</v>
      </c>
      <c r="M55" s="57">
        <f t="shared" si="21"/>
        <v>0</v>
      </c>
      <c r="N55" s="57">
        <f t="shared" si="21"/>
        <v>0</v>
      </c>
      <c r="O55" s="57">
        <f t="shared" si="21"/>
        <v>0</v>
      </c>
      <c r="P55" s="57">
        <f t="shared" si="21"/>
        <v>0</v>
      </c>
      <c r="Q55" s="57">
        <f t="shared" si="21"/>
        <v>0</v>
      </c>
      <c r="R55" s="57">
        <f t="shared" si="21"/>
        <v>0</v>
      </c>
      <c r="S55" s="57">
        <f t="shared" si="21"/>
        <v>0</v>
      </c>
      <c r="T55" s="57">
        <f t="shared" si="21"/>
        <v>0</v>
      </c>
      <c r="U55" s="57">
        <f t="shared" si="21"/>
        <v>0</v>
      </c>
      <c r="V55" s="57">
        <f t="shared" si="21"/>
        <v>0</v>
      </c>
      <c r="W55" s="57">
        <f t="shared" si="21"/>
        <v>0</v>
      </c>
      <c r="X55" s="57">
        <f t="shared" si="21"/>
        <v>0</v>
      </c>
      <c r="Y55" s="57">
        <f t="shared" si="21"/>
        <v>0</v>
      </c>
      <c r="Z55" s="57">
        <f t="shared" si="21"/>
        <v>0</v>
      </c>
      <c r="AA55" s="57">
        <f t="shared" si="21"/>
        <v>0</v>
      </c>
      <c r="AB55" s="57">
        <f t="shared" si="21"/>
        <v>0</v>
      </c>
      <c r="AC55" s="57">
        <f t="shared" si="3"/>
        <v>0</v>
      </c>
      <c r="AD55" s="57">
        <f t="shared" si="1"/>
        <v>0</v>
      </c>
      <c r="AE55" s="1"/>
      <c r="AF55" s="1"/>
      <c r="AG55" s="1"/>
      <c r="AH55" s="1"/>
      <c r="AI55" s="1"/>
      <c r="AJ55" s="1"/>
      <c r="AK55" s="1"/>
      <c r="AL55" s="1"/>
      <c r="AM55" s="1"/>
      <c r="AN55" s="1"/>
      <c r="AO55" s="1"/>
      <c r="AP55" s="1"/>
      <c r="AQ55" s="1"/>
      <c r="AR55" s="1"/>
      <c r="AS55" s="1"/>
      <c r="AT55" s="1"/>
      <c r="AU55" s="1"/>
      <c r="AV55" s="1"/>
      <c r="AW55" s="1"/>
      <c r="AX55" s="1"/>
      <c r="AY55" s="1"/>
    </row>
    <row r="56" spans="1:51" x14ac:dyDescent="0.25">
      <c r="A56" s="56"/>
      <c r="B56" s="57">
        <f>IF($B$26=0,0,$B$26*B6+$C$26*B7+$D$26*B8+$E$26*B9+$F$26*B10+$G$26*B11+$H$26*B12+$I$26*B13+$J$26*B14+$K$26*B15+$L$26*B16+$M$26*B17+$N$26*B18+$O$26*B19+$P$26*B20+$Q$26*B21+$R$26*B22+$S$26*B23+$T$26*B24+$U$26*B25+$V$26*B26+$W$26*B27+$X$26*B28+$Y$26*B29+$Z$26*B30+$AA$26*B31+$AB$26*B32)</f>
        <v>0</v>
      </c>
      <c r="C56" s="57">
        <f t="shared" ref="C56:AB56" si="22">IF($B$26=0,0,$B$26*C6+$C$26*C7+$D$26*C8+$E$26*C9+$F$26*C10+$G$26*C11+$H$26*C12+$I$26*C13+$J$26*C14+$K$26*C15+$L$26*C16+$M$26*C17+$N$26*C18+$O$26*C19+$P$26*C20+$Q$26*C21+$R$26*C22+$S$26*C23+$T$26*C24+$U$26*C25+$V$26*C26+$W$26*C27+$X$26*C28+$Y$26*C29+$Z$26*C30+$AA$26*C31+$AB$26*C32)</f>
        <v>0</v>
      </c>
      <c r="D56" s="57">
        <f t="shared" si="22"/>
        <v>0</v>
      </c>
      <c r="E56" s="57">
        <f t="shared" si="22"/>
        <v>0</v>
      </c>
      <c r="F56" s="57">
        <f t="shared" si="22"/>
        <v>0</v>
      </c>
      <c r="G56" s="57">
        <f t="shared" si="22"/>
        <v>0</v>
      </c>
      <c r="H56" s="57">
        <f t="shared" si="22"/>
        <v>0</v>
      </c>
      <c r="I56" s="57">
        <f t="shared" si="22"/>
        <v>0</v>
      </c>
      <c r="J56" s="57">
        <f t="shared" si="22"/>
        <v>0</v>
      </c>
      <c r="K56" s="57">
        <f t="shared" si="22"/>
        <v>0</v>
      </c>
      <c r="L56" s="57">
        <f t="shared" si="22"/>
        <v>0</v>
      </c>
      <c r="M56" s="57">
        <f t="shared" si="22"/>
        <v>0</v>
      </c>
      <c r="N56" s="57">
        <f t="shared" si="22"/>
        <v>0</v>
      </c>
      <c r="O56" s="57">
        <f t="shared" si="22"/>
        <v>0</v>
      </c>
      <c r="P56" s="57">
        <f t="shared" si="22"/>
        <v>0</v>
      </c>
      <c r="Q56" s="57">
        <f t="shared" si="22"/>
        <v>0</v>
      </c>
      <c r="R56" s="57">
        <f t="shared" si="22"/>
        <v>0</v>
      </c>
      <c r="S56" s="57">
        <f t="shared" si="22"/>
        <v>0</v>
      </c>
      <c r="T56" s="57">
        <f t="shared" si="22"/>
        <v>0</v>
      </c>
      <c r="U56" s="57">
        <f t="shared" si="22"/>
        <v>0</v>
      </c>
      <c r="V56" s="57">
        <f t="shared" si="22"/>
        <v>0</v>
      </c>
      <c r="W56" s="57">
        <f t="shared" si="22"/>
        <v>0</v>
      </c>
      <c r="X56" s="57">
        <f t="shared" si="22"/>
        <v>0</v>
      </c>
      <c r="Y56" s="57">
        <f t="shared" si="22"/>
        <v>0</v>
      </c>
      <c r="Z56" s="57">
        <f t="shared" si="22"/>
        <v>0</v>
      </c>
      <c r="AA56" s="57">
        <f t="shared" si="22"/>
        <v>0</v>
      </c>
      <c r="AB56" s="57">
        <f t="shared" si="22"/>
        <v>0</v>
      </c>
      <c r="AC56" s="57">
        <f t="shared" si="3"/>
        <v>0</v>
      </c>
      <c r="AD56" s="57">
        <f t="shared" si="1"/>
        <v>0</v>
      </c>
      <c r="AE56" s="1"/>
      <c r="AF56" s="1"/>
      <c r="AG56" s="1"/>
      <c r="AH56" s="1"/>
      <c r="AI56" s="1"/>
      <c r="AJ56" s="1"/>
      <c r="AK56" s="1"/>
      <c r="AL56" s="1"/>
      <c r="AM56" s="1"/>
      <c r="AN56" s="1"/>
      <c r="AO56" s="1"/>
      <c r="AP56" s="1"/>
      <c r="AQ56" s="1"/>
      <c r="AR56" s="1"/>
      <c r="AS56" s="1"/>
      <c r="AT56" s="1"/>
      <c r="AU56" s="1"/>
      <c r="AV56" s="1"/>
      <c r="AW56" s="1"/>
      <c r="AX56" s="1"/>
      <c r="AY56" s="1"/>
    </row>
    <row r="57" spans="1:51" x14ac:dyDescent="0.25">
      <c r="A57" s="56"/>
      <c r="B57" s="57">
        <f>IF($B$27=0,0,$B$27*B6+$C$27*B7+$D$27*B8+$E$27*B9+$F$27*B10+$G$27*B11+$H$27*B12+$I$27*B13+$J$27*B14+$K$27*B15+$L$27*B16+$M$27*B17+$N$27*B18+$O$27*B19+$P$27*B20+$Q$27*B21+$R$27*B22+$S$27*B23+$T$27*B24+$U$27*B25+$V$27*B26+$W$27*B27+$X$27*B28+$Y$27*B29+$Z$27*B30+$AA$27*B31+$AB$27*B32)</f>
        <v>0</v>
      </c>
      <c r="C57" s="57">
        <f t="shared" ref="C57:AB57" si="23">IF($B$27=0,0,$B$27*C6+$C$27*C7+$D$27*C8+$E$27*C9+$F$27*C10+$G$27*C11+$H$27*C12+$I$27*C13+$J$27*C14+$K$27*C15+$L$27*C16+$M$27*C17+$N$27*C18+$O$27*C19+$P$27*C20+$Q$27*C21+$R$27*C22+$S$27*C23+$T$27*C24+$U$27*C25+$V$27*C26+$W$27*C27+$X$27*C28+$Y$27*C29+$Z$27*C30+$AA$27*C31+$AB$27*C32)</f>
        <v>0</v>
      </c>
      <c r="D57" s="57">
        <f t="shared" si="23"/>
        <v>0</v>
      </c>
      <c r="E57" s="57">
        <f t="shared" si="23"/>
        <v>0</v>
      </c>
      <c r="F57" s="57">
        <f t="shared" si="23"/>
        <v>0</v>
      </c>
      <c r="G57" s="57">
        <f t="shared" si="23"/>
        <v>0</v>
      </c>
      <c r="H57" s="57">
        <f t="shared" si="23"/>
        <v>0</v>
      </c>
      <c r="I57" s="57">
        <f t="shared" si="23"/>
        <v>0</v>
      </c>
      <c r="J57" s="57">
        <f t="shared" si="23"/>
        <v>0</v>
      </c>
      <c r="K57" s="57">
        <f t="shared" si="23"/>
        <v>0</v>
      </c>
      <c r="L57" s="57">
        <f t="shared" si="23"/>
        <v>0</v>
      </c>
      <c r="M57" s="57">
        <f t="shared" si="23"/>
        <v>0</v>
      </c>
      <c r="N57" s="57">
        <f t="shared" si="23"/>
        <v>0</v>
      </c>
      <c r="O57" s="57">
        <f t="shared" si="23"/>
        <v>0</v>
      </c>
      <c r="P57" s="57">
        <f t="shared" si="23"/>
        <v>0</v>
      </c>
      <c r="Q57" s="57">
        <f t="shared" si="23"/>
        <v>0</v>
      </c>
      <c r="R57" s="57">
        <f t="shared" si="23"/>
        <v>0</v>
      </c>
      <c r="S57" s="57">
        <f t="shared" si="23"/>
        <v>0</v>
      </c>
      <c r="T57" s="57">
        <f t="shared" si="23"/>
        <v>0</v>
      </c>
      <c r="U57" s="57">
        <f t="shared" si="23"/>
        <v>0</v>
      </c>
      <c r="V57" s="57">
        <f t="shared" si="23"/>
        <v>0</v>
      </c>
      <c r="W57" s="57">
        <f t="shared" si="23"/>
        <v>0</v>
      </c>
      <c r="X57" s="57">
        <f t="shared" si="23"/>
        <v>0</v>
      </c>
      <c r="Y57" s="57">
        <f t="shared" si="23"/>
        <v>0</v>
      </c>
      <c r="Z57" s="57">
        <f t="shared" si="23"/>
        <v>0</v>
      </c>
      <c r="AA57" s="57">
        <f t="shared" si="23"/>
        <v>0</v>
      </c>
      <c r="AB57" s="57">
        <f t="shared" si="23"/>
        <v>0</v>
      </c>
      <c r="AC57" s="57">
        <f t="shared" si="3"/>
        <v>0</v>
      </c>
      <c r="AD57" s="57">
        <f t="shared" si="1"/>
        <v>0</v>
      </c>
      <c r="AE57" s="1"/>
      <c r="AF57" s="1"/>
      <c r="AG57" s="1"/>
      <c r="AH57" s="1"/>
      <c r="AI57" s="1"/>
      <c r="AJ57" s="1"/>
      <c r="AK57" s="1"/>
      <c r="AL57" s="1"/>
      <c r="AM57" s="1"/>
      <c r="AN57" s="1"/>
      <c r="AO57" s="1"/>
      <c r="AP57" s="1"/>
      <c r="AQ57" s="1"/>
      <c r="AR57" s="1"/>
      <c r="AS57" s="1"/>
      <c r="AT57" s="1"/>
      <c r="AU57" s="1"/>
      <c r="AV57" s="1"/>
      <c r="AW57" s="1"/>
      <c r="AX57" s="1"/>
      <c r="AY57" s="1"/>
    </row>
    <row r="58" spans="1:51" x14ac:dyDescent="0.25">
      <c r="A58" s="56"/>
      <c r="B58" s="57">
        <f>IF($B$28=0,0,$B$28*B6+$C$28*B7+$D$28*B8+$E$28*B9+$F$28*B10+$G$28*B11+$H$28*B12+$I$28*B13+$J$28*B14+$K$28*B15+$L$28*B16+$M$28*B17+$N$28*B18+$O$28*B19+$P$28*B20+$Q$28*B21+$R$28*B22+$S$28*B23+$T$28*B24+$U$28*B25+$V$28*B26+$W$28*B27+$X$28*B28+$Y$28*B29+$Z$28*B30+$AA$28*B31+$AB$28*B32)</f>
        <v>0</v>
      </c>
      <c r="C58" s="57">
        <f t="shared" ref="C58:AB58" si="24">IF($B$28=0,0,$B$28*C6+$C$28*C7+$D$28*C8+$E$28*C9+$F$28*C10+$G$28*C11+$H$28*C12+$I$28*C13+$J$28*C14+$K$28*C15+$L$28*C16+$M$28*C17+$N$28*C18+$O$28*C19+$P$28*C20+$Q$28*C21+$R$28*C22+$S$28*C23+$T$28*C24+$U$28*C25+$V$28*C26+$W$28*C27+$X$28*C28+$Y$28*C29+$Z$28*C30+$AA$28*C31+$AB$28*C32)</f>
        <v>0</v>
      </c>
      <c r="D58" s="57">
        <f t="shared" si="24"/>
        <v>0</v>
      </c>
      <c r="E58" s="57">
        <f t="shared" si="24"/>
        <v>0</v>
      </c>
      <c r="F58" s="57">
        <f t="shared" si="24"/>
        <v>0</v>
      </c>
      <c r="G58" s="57">
        <f t="shared" si="24"/>
        <v>0</v>
      </c>
      <c r="H58" s="57">
        <f t="shared" si="24"/>
        <v>0</v>
      </c>
      <c r="I58" s="57">
        <f t="shared" si="24"/>
        <v>0</v>
      </c>
      <c r="J58" s="57">
        <f t="shared" si="24"/>
        <v>0</v>
      </c>
      <c r="K58" s="57">
        <f t="shared" si="24"/>
        <v>0</v>
      </c>
      <c r="L58" s="57">
        <f t="shared" si="24"/>
        <v>0</v>
      </c>
      <c r="M58" s="57">
        <f t="shared" si="24"/>
        <v>0</v>
      </c>
      <c r="N58" s="57">
        <f t="shared" si="24"/>
        <v>0</v>
      </c>
      <c r="O58" s="57">
        <f t="shared" si="24"/>
        <v>0</v>
      </c>
      <c r="P58" s="57">
        <f t="shared" si="24"/>
        <v>0</v>
      </c>
      <c r="Q58" s="57">
        <f t="shared" si="24"/>
        <v>0</v>
      </c>
      <c r="R58" s="57">
        <f t="shared" si="24"/>
        <v>0</v>
      </c>
      <c r="S58" s="57">
        <f>IF($B$28=0,0,$B$28*S6+$C$28*S7+$D$28*S8+$E$28*S9+$F$28*S10+$G$28*S11+$H$28*S12+$I$28*S13+$J$28*S14+$K$28*S15+$L$28*S16+$M$28*S17+$N$28*S18+$O$28*S19+$P$28*S20+$Q$28*S21+$R$28*S22+$S$28*S23+$T$28*S24+$U$28*S25+$V$28*S26+$W$28*S27+$X$28*S28+$Y$28*S29+$Z$28*S30+$AA$28*S31+$AB$28*S32)</f>
        <v>0</v>
      </c>
      <c r="T58" s="57">
        <f t="shared" si="24"/>
        <v>0</v>
      </c>
      <c r="U58" s="57">
        <f t="shared" si="24"/>
        <v>0</v>
      </c>
      <c r="V58" s="57">
        <f t="shared" si="24"/>
        <v>0</v>
      </c>
      <c r="W58" s="57">
        <f t="shared" si="24"/>
        <v>0</v>
      </c>
      <c r="X58" s="57">
        <f t="shared" si="24"/>
        <v>0</v>
      </c>
      <c r="Y58" s="57">
        <f t="shared" si="24"/>
        <v>0</v>
      </c>
      <c r="Z58" s="57">
        <f t="shared" si="24"/>
        <v>0</v>
      </c>
      <c r="AA58" s="57">
        <f t="shared" si="24"/>
        <v>0</v>
      </c>
      <c r="AB58" s="57">
        <f t="shared" si="24"/>
        <v>0</v>
      </c>
      <c r="AC58" s="57">
        <f t="shared" si="3"/>
        <v>0</v>
      </c>
      <c r="AD58" s="57">
        <f t="shared" si="1"/>
        <v>0</v>
      </c>
      <c r="AE58" s="1"/>
      <c r="AF58" s="1"/>
      <c r="AG58" s="1"/>
      <c r="AH58" s="1"/>
      <c r="AI58" s="1"/>
      <c r="AJ58" s="1"/>
      <c r="AK58" s="1"/>
      <c r="AL58" s="1"/>
      <c r="AM58" s="1"/>
      <c r="AN58" s="1"/>
      <c r="AO58" s="1"/>
      <c r="AP58" s="1"/>
      <c r="AQ58" s="1"/>
      <c r="AR58" s="1"/>
      <c r="AS58" s="1"/>
      <c r="AT58" s="1"/>
      <c r="AU58" s="1"/>
      <c r="AV58" s="1"/>
      <c r="AW58" s="1"/>
      <c r="AX58" s="1"/>
      <c r="AY58" s="1"/>
    </row>
    <row r="59" spans="1:51" x14ac:dyDescent="0.25">
      <c r="A59" s="56"/>
      <c r="B59" s="57">
        <f>IF($B$29=0,0,$B$29*B6+$C$29*B7+$D$29*B8+$E$29*B9+$F$29*B10+$G$29*B11+$H$29*B12+$I$29*B13+$J$29*B14+$K$29*B15+$L$29*B16+$M$29*B17+$N$29*B18+$O$29*B19+$P$29*B20+$Q$29*B21+$R$29*B22+$S$29*B23+$T$29*B24+$U$29*B25+$V$29*B26+$W$29*B27+$X$29*B28+$Y$29*B29+$Z$29*B30+$AA$29*B31+$AB$29*B32)</f>
        <v>0</v>
      </c>
      <c r="C59" s="57">
        <f t="shared" ref="C59:AB59" si="25">IF($B$29=0,0,$B$29*C6+$C$29*C7+$D$29*C8+$E$29*C9+$F$29*C10+$G$29*C11+$H$29*C12+$I$29*C13+$J$29*C14+$K$29*C15+$L$29*C16+$M$29*C17+$N$29*C18+$O$29*C19+$P$29*C20+$Q$29*C21+$R$29*C22+$S$29*C23+$T$29*C24+$U$29*C25+$V$29*C26+$W$29*C27+$X$29*C28+$Y$29*C29+$Z$29*C30+$AA$29*C31+$AB$29*C32)</f>
        <v>0</v>
      </c>
      <c r="D59" s="57">
        <f t="shared" si="25"/>
        <v>0</v>
      </c>
      <c r="E59" s="57">
        <f t="shared" si="25"/>
        <v>0</v>
      </c>
      <c r="F59" s="57">
        <f t="shared" si="25"/>
        <v>0</v>
      </c>
      <c r="G59" s="57">
        <f t="shared" si="25"/>
        <v>0</v>
      </c>
      <c r="H59" s="57">
        <f t="shared" si="25"/>
        <v>0</v>
      </c>
      <c r="I59" s="57">
        <f t="shared" si="25"/>
        <v>0</v>
      </c>
      <c r="J59" s="57">
        <f t="shared" si="25"/>
        <v>0</v>
      </c>
      <c r="K59" s="57">
        <f t="shared" si="25"/>
        <v>0</v>
      </c>
      <c r="L59" s="57">
        <f t="shared" si="25"/>
        <v>0</v>
      </c>
      <c r="M59" s="57">
        <f t="shared" si="25"/>
        <v>0</v>
      </c>
      <c r="N59" s="57">
        <f t="shared" si="25"/>
        <v>0</v>
      </c>
      <c r="O59" s="57">
        <f t="shared" si="25"/>
        <v>0</v>
      </c>
      <c r="P59" s="57">
        <f t="shared" si="25"/>
        <v>0</v>
      </c>
      <c r="Q59" s="57">
        <f t="shared" si="25"/>
        <v>0</v>
      </c>
      <c r="R59" s="57">
        <f t="shared" si="25"/>
        <v>0</v>
      </c>
      <c r="S59" s="57">
        <f t="shared" si="25"/>
        <v>0</v>
      </c>
      <c r="T59" s="57">
        <f t="shared" si="25"/>
        <v>0</v>
      </c>
      <c r="U59" s="57">
        <f t="shared" si="25"/>
        <v>0</v>
      </c>
      <c r="V59" s="57">
        <f t="shared" si="25"/>
        <v>0</v>
      </c>
      <c r="W59" s="57">
        <f t="shared" si="25"/>
        <v>0</v>
      </c>
      <c r="X59" s="57">
        <f t="shared" si="25"/>
        <v>0</v>
      </c>
      <c r="Y59" s="57">
        <f t="shared" si="25"/>
        <v>0</v>
      </c>
      <c r="Z59" s="57">
        <f t="shared" si="25"/>
        <v>0</v>
      </c>
      <c r="AA59" s="57">
        <f t="shared" si="25"/>
        <v>0</v>
      </c>
      <c r="AB59" s="57">
        <f t="shared" si="25"/>
        <v>0</v>
      </c>
      <c r="AC59" s="57">
        <f t="shared" si="3"/>
        <v>0</v>
      </c>
      <c r="AD59" s="57">
        <f t="shared" si="1"/>
        <v>0</v>
      </c>
      <c r="AE59" s="1"/>
      <c r="AF59" s="1"/>
      <c r="AG59" s="1"/>
      <c r="AH59" s="1"/>
      <c r="AI59" s="1"/>
      <c r="AJ59" s="1"/>
      <c r="AK59" s="1"/>
      <c r="AL59" s="1"/>
      <c r="AM59" s="1"/>
      <c r="AN59" s="1"/>
      <c r="AO59" s="1"/>
      <c r="AP59" s="1"/>
      <c r="AQ59" s="1"/>
      <c r="AR59" s="1"/>
      <c r="AS59" s="1"/>
      <c r="AT59" s="1"/>
      <c r="AU59" s="1"/>
      <c r="AV59" s="1"/>
      <c r="AW59" s="1"/>
      <c r="AX59" s="1"/>
      <c r="AY59" s="1"/>
    </row>
    <row r="60" spans="1:51" x14ac:dyDescent="0.25">
      <c r="A60" s="56"/>
      <c r="B60" s="57">
        <f>IF($B$30=0,0,$B$30*B6+$C$30*B7+$D$30*B8+$E$30*B9+$F$30*B10+$G$30*B11+$H$30*B12+$I$30*B13+$J$30*B14+$K$30*B15+$L$30*B16+$M$30*B17+$N$30*B18+$O$30*B19+$P$30*B20+$Q$30*B21+$R$30*B22+$S$30*B23+$T$30*B24+$U$30*B25+$V$30*B26+$W$30*B27+$X$30*B28+$Y$30*B29+$Z$30*B30+$AA$30*B31+$AB$30*B32)</f>
        <v>0</v>
      </c>
      <c r="C60" s="57">
        <f t="shared" ref="C60:AB60" si="26">IF($B$30=0,0,$B$30*C6+$C$30*C7+$D$30*C8+$E$30*C9+$F$30*C10+$G$30*C11+$H$30*C12+$I$30*C13+$J$30*C14+$K$30*C15+$L$30*C16+$M$30*C17+$N$30*C18+$O$30*C19+$P$30*C20+$Q$30*C21+$R$30*C22+$S$30*C23+$T$30*C24+$U$30*C25+$V$30*C26+$W$30*C27+$X$30*C28+$Y$30*C29+$Z$30*C30+$AA$30*C31+$AB$30*C32)</f>
        <v>0</v>
      </c>
      <c r="D60" s="57">
        <f t="shared" si="26"/>
        <v>0</v>
      </c>
      <c r="E60" s="57">
        <f t="shared" si="26"/>
        <v>0</v>
      </c>
      <c r="F60" s="57">
        <f t="shared" si="26"/>
        <v>0</v>
      </c>
      <c r="G60" s="57">
        <f t="shared" si="26"/>
        <v>0</v>
      </c>
      <c r="H60" s="57">
        <f t="shared" si="26"/>
        <v>0</v>
      </c>
      <c r="I60" s="57">
        <f t="shared" si="26"/>
        <v>0</v>
      </c>
      <c r="J60" s="57">
        <f t="shared" si="26"/>
        <v>0</v>
      </c>
      <c r="K60" s="57">
        <f t="shared" si="26"/>
        <v>0</v>
      </c>
      <c r="L60" s="57">
        <f t="shared" si="26"/>
        <v>0</v>
      </c>
      <c r="M60" s="57">
        <f t="shared" si="26"/>
        <v>0</v>
      </c>
      <c r="N60" s="57">
        <f t="shared" si="26"/>
        <v>0</v>
      </c>
      <c r="O60" s="57">
        <f t="shared" si="26"/>
        <v>0</v>
      </c>
      <c r="P60" s="57">
        <f t="shared" si="26"/>
        <v>0</v>
      </c>
      <c r="Q60" s="57">
        <f t="shared" si="26"/>
        <v>0</v>
      </c>
      <c r="R60" s="57">
        <f t="shared" si="26"/>
        <v>0</v>
      </c>
      <c r="S60" s="57">
        <f t="shared" si="26"/>
        <v>0</v>
      </c>
      <c r="T60" s="57">
        <f t="shared" si="26"/>
        <v>0</v>
      </c>
      <c r="U60" s="57">
        <f t="shared" si="26"/>
        <v>0</v>
      </c>
      <c r="V60" s="57">
        <f t="shared" si="26"/>
        <v>0</v>
      </c>
      <c r="W60" s="57">
        <f t="shared" si="26"/>
        <v>0</v>
      </c>
      <c r="X60" s="57">
        <f t="shared" si="26"/>
        <v>0</v>
      </c>
      <c r="Y60" s="57">
        <f t="shared" si="26"/>
        <v>0</v>
      </c>
      <c r="Z60" s="57">
        <f t="shared" si="26"/>
        <v>0</v>
      </c>
      <c r="AA60" s="57">
        <f t="shared" si="26"/>
        <v>0</v>
      </c>
      <c r="AB60" s="57">
        <f t="shared" si="26"/>
        <v>0</v>
      </c>
      <c r="AC60" s="57">
        <f t="shared" si="3"/>
        <v>0</v>
      </c>
      <c r="AD60" s="57">
        <f t="shared" si="1"/>
        <v>0</v>
      </c>
      <c r="AE60" s="1"/>
      <c r="AF60" s="1"/>
      <c r="AG60" s="1"/>
      <c r="AH60" s="1"/>
      <c r="AI60" s="1"/>
      <c r="AJ60" s="1"/>
      <c r="AK60" s="1"/>
      <c r="AL60" s="1"/>
      <c r="AM60" s="1"/>
      <c r="AN60" s="1"/>
      <c r="AO60" s="1"/>
      <c r="AP60" s="1"/>
      <c r="AQ60" s="1"/>
      <c r="AR60" s="1"/>
      <c r="AS60" s="1"/>
      <c r="AT60" s="1"/>
      <c r="AU60" s="1"/>
      <c r="AV60" s="1"/>
      <c r="AW60" s="1"/>
      <c r="AX60" s="1"/>
      <c r="AY60" s="1"/>
    </row>
    <row r="61" spans="1:51" x14ac:dyDescent="0.25">
      <c r="A61" s="56"/>
      <c r="B61" s="57">
        <f>IF($B$31=0,0,$B$31*B6+$C$31*B7+$D$31*B8+$E$31*B9+$F$31*B10+$G$31*B11+$H$31*B12+$I$31*B13+$J$31*B14+$K$31*B15+$L$31*B16+$M$31*B17+$N$31*B18+$O$31*B19+$P$31*B20+$Q$31*B21+$R$31*B22+$S$31*B23+$T$31*B24+$U$31*B25+$V$31*B26+$W$31*B27+$X$31*B28+$Y$31*B29+$Z$31*B30+$AA$31*B31+$AB$31*B32)</f>
        <v>0</v>
      </c>
      <c r="C61" s="57">
        <f t="shared" ref="C61:AB61" si="27">IF($B$31=0,0,$B$31*C6+$C$31*C7+$D$31*C8+$E$31*C9+$F$31*C10+$G$31*C11+$H$31*C12+$I$31*C13+$J$31*C14+$K$31*C15+$L$31*C16+$M$31*C17+$N$31*C18+$O$31*C19+$P$31*C20+$Q$31*C21+$R$31*C22+$S$31*C23+$T$31*C24+$U$31*C25+$V$31*C26+$W$31*C27+$X$31*C28+$Y$31*C29+$Z$31*C30+$AA$31*C31+$AB$31*C32)</f>
        <v>0</v>
      </c>
      <c r="D61" s="57">
        <f t="shared" si="27"/>
        <v>0</v>
      </c>
      <c r="E61" s="57">
        <f t="shared" si="27"/>
        <v>0</v>
      </c>
      <c r="F61" s="57">
        <f t="shared" si="27"/>
        <v>0</v>
      </c>
      <c r="G61" s="57">
        <f t="shared" si="27"/>
        <v>0</v>
      </c>
      <c r="H61" s="57">
        <f t="shared" si="27"/>
        <v>0</v>
      </c>
      <c r="I61" s="57">
        <f t="shared" si="27"/>
        <v>0</v>
      </c>
      <c r="J61" s="57">
        <f t="shared" si="27"/>
        <v>0</v>
      </c>
      <c r="K61" s="57">
        <f t="shared" si="27"/>
        <v>0</v>
      </c>
      <c r="L61" s="57">
        <f t="shared" si="27"/>
        <v>0</v>
      </c>
      <c r="M61" s="57">
        <f t="shared" si="27"/>
        <v>0</v>
      </c>
      <c r="N61" s="57">
        <f t="shared" si="27"/>
        <v>0</v>
      </c>
      <c r="O61" s="57">
        <f t="shared" si="27"/>
        <v>0</v>
      </c>
      <c r="P61" s="57">
        <f t="shared" si="27"/>
        <v>0</v>
      </c>
      <c r="Q61" s="57">
        <f t="shared" si="27"/>
        <v>0</v>
      </c>
      <c r="R61" s="57">
        <f t="shared" si="27"/>
        <v>0</v>
      </c>
      <c r="S61" s="57">
        <f t="shared" si="27"/>
        <v>0</v>
      </c>
      <c r="T61" s="57">
        <f t="shared" si="27"/>
        <v>0</v>
      </c>
      <c r="U61" s="57">
        <f t="shared" si="27"/>
        <v>0</v>
      </c>
      <c r="V61" s="57">
        <f t="shared" si="27"/>
        <v>0</v>
      </c>
      <c r="W61" s="57">
        <f t="shared" si="27"/>
        <v>0</v>
      </c>
      <c r="X61" s="57">
        <f t="shared" si="27"/>
        <v>0</v>
      </c>
      <c r="Y61" s="57">
        <f t="shared" si="27"/>
        <v>0</v>
      </c>
      <c r="Z61" s="57">
        <f t="shared" si="27"/>
        <v>0</v>
      </c>
      <c r="AA61" s="57">
        <f t="shared" si="27"/>
        <v>0</v>
      </c>
      <c r="AB61" s="57">
        <f t="shared" si="27"/>
        <v>0</v>
      </c>
      <c r="AC61" s="57">
        <f t="shared" si="3"/>
        <v>0</v>
      </c>
      <c r="AD61" s="57">
        <f t="shared" si="1"/>
        <v>0</v>
      </c>
      <c r="AE61" s="1"/>
      <c r="AF61" s="1"/>
      <c r="AG61" s="1"/>
      <c r="AH61" s="1"/>
      <c r="AI61" s="1"/>
      <c r="AJ61" s="1"/>
      <c r="AK61" s="1"/>
      <c r="AL61" s="1"/>
      <c r="AM61" s="1"/>
      <c r="AN61" s="1"/>
      <c r="AO61" s="1"/>
      <c r="AP61" s="1"/>
      <c r="AQ61" s="1"/>
      <c r="AR61" s="1"/>
      <c r="AS61" s="1"/>
      <c r="AT61" s="1"/>
      <c r="AU61" s="1"/>
      <c r="AV61" s="1"/>
      <c r="AW61" s="1"/>
      <c r="AX61" s="1"/>
      <c r="AY61" s="1"/>
    </row>
    <row r="62" spans="1:51" x14ac:dyDescent="0.25">
      <c r="A62" s="56"/>
      <c r="B62" s="57">
        <f>IF($B$32=0,0,$B$32*B6+$C$32*B7+$D$32*B8+$E$32*B9+$F$32*B10+$G$32*B11+$H$32*B12+$I$32*B13+$J$32*B14+$K$32*B15+$L$32*B16+$M$32*B17+$N$32*B18+$O$32*B19+$P$32*B20+$Q$32*B21+$R$32*B22+$S$32*B23+$T$32*B24+$U$32*B25+$V$32*B26+$W$32*B27+$X$32*B28+$Y$32*B29+$Z$32*B30+$AA$32*B31+$AB$32*B32)</f>
        <v>0</v>
      </c>
      <c r="C62" s="57">
        <f>IF($B$32=0,0,$B$32*C6+$C$32*C7+$D$32*C8+$E$32*C9+$F$32*C10+$G$32*C11+$H$32*C12+$I$32*C13+$J$32*C14+$K$32*C15+$L$32*C16+$M$32*C17+$N$32*C18+$O$32*C19+$P$32*C20+$Q$32*C21+$R$32*C22+$S$32*C23+$T$32*C24+$U$32*C25+$V$32*C26+$W$32*C27+$X$32*C28+$Y$32*C29+$Z$32*C30+$AA$32*C31+$AB$32*C32)</f>
        <v>0</v>
      </c>
      <c r="D62" s="57">
        <f t="shared" ref="D62:AB62" si="28">IF($B$32=0,0,$B$32*D6+$C$32*D7+$D$32*D8+$E$32*D9+$F$32*D10+$G$32*D11+$H$32*D12+$I$32*D13+$J$32*D14+$K$32*D15+$L$32*D16+$M$32*D17+$N$32*D18+$O$32*D19+$P$32*D20+$Q$32*D21+$R$32*D22+$S$32*D23+$T$32*D24+$U$32*D25+$V$32*D26+$W$32*D27+$X$32*D28+$Y$32*D29+$Z$32*D30+$AA$32*D31+$AB$32*D32)</f>
        <v>0</v>
      </c>
      <c r="E62" s="57">
        <f t="shared" si="28"/>
        <v>0</v>
      </c>
      <c r="F62" s="57">
        <f t="shared" si="28"/>
        <v>0</v>
      </c>
      <c r="G62" s="57">
        <f t="shared" si="28"/>
        <v>0</v>
      </c>
      <c r="H62" s="57">
        <f t="shared" si="28"/>
        <v>0</v>
      </c>
      <c r="I62" s="57">
        <f t="shared" si="28"/>
        <v>0</v>
      </c>
      <c r="J62" s="57">
        <f t="shared" si="28"/>
        <v>0</v>
      </c>
      <c r="K62" s="57">
        <f t="shared" si="28"/>
        <v>0</v>
      </c>
      <c r="L62" s="57">
        <f t="shared" si="28"/>
        <v>0</v>
      </c>
      <c r="M62" s="57">
        <f t="shared" si="28"/>
        <v>0</v>
      </c>
      <c r="N62" s="57">
        <f t="shared" si="28"/>
        <v>0</v>
      </c>
      <c r="O62" s="57">
        <f t="shared" si="28"/>
        <v>0</v>
      </c>
      <c r="P62" s="57">
        <f t="shared" si="28"/>
        <v>0</v>
      </c>
      <c r="Q62" s="57">
        <f t="shared" si="28"/>
        <v>0</v>
      </c>
      <c r="R62" s="57">
        <f t="shared" si="28"/>
        <v>0</v>
      </c>
      <c r="S62" s="57">
        <f t="shared" si="28"/>
        <v>0</v>
      </c>
      <c r="T62" s="57">
        <f t="shared" si="28"/>
        <v>0</v>
      </c>
      <c r="U62" s="57">
        <f t="shared" si="28"/>
        <v>0</v>
      </c>
      <c r="V62" s="57">
        <f t="shared" si="28"/>
        <v>0</v>
      </c>
      <c r="W62" s="57">
        <f t="shared" si="28"/>
        <v>0</v>
      </c>
      <c r="X62" s="57">
        <f t="shared" si="28"/>
        <v>0</v>
      </c>
      <c r="Y62" s="57">
        <f t="shared" si="28"/>
        <v>0</v>
      </c>
      <c r="Z62" s="57">
        <f t="shared" si="28"/>
        <v>0</v>
      </c>
      <c r="AA62" s="57">
        <f t="shared" si="28"/>
        <v>0</v>
      </c>
      <c r="AB62" s="57">
        <f t="shared" si="28"/>
        <v>0</v>
      </c>
      <c r="AC62" s="57">
        <f t="shared" si="3"/>
        <v>0</v>
      </c>
      <c r="AD62" s="57">
        <f t="shared" si="1"/>
        <v>0</v>
      </c>
      <c r="AE62" s="1"/>
      <c r="AF62" s="1"/>
      <c r="AG62" s="1"/>
      <c r="AH62" s="1"/>
      <c r="AI62" s="1"/>
      <c r="AJ62" s="1"/>
      <c r="AK62" s="1"/>
      <c r="AL62" s="1"/>
      <c r="AM62" s="1"/>
      <c r="AN62" s="1"/>
      <c r="AO62" s="1"/>
      <c r="AP62" s="1"/>
      <c r="AQ62" s="1"/>
      <c r="AR62" s="1"/>
      <c r="AS62" s="1"/>
      <c r="AT62" s="1"/>
      <c r="AU62" s="1"/>
      <c r="AV62" s="1"/>
      <c r="AW62" s="1"/>
      <c r="AX62" s="1"/>
      <c r="AY62" s="1"/>
    </row>
    <row r="63" spans="1:51" ht="21" x14ac:dyDescent="0.4">
      <c r="A63" s="44"/>
      <c r="B63" s="1"/>
      <c r="C63" s="1"/>
      <c r="D63" s="1"/>
      <c r="E63" s="1"/>
      <c r="F63" s="1"/>
      <c r="G63" s="1"/>
      <c r="H63" s="58"/>
      <c r="I63" s="58"/>
      <c r="J63" s="58"/>
      <c r="K63" s="58"/>
      <c r="L63" s="58"/>
      <c r="M63" s="58"/>
      <c r="N63" s="59"/>
      <c r="O63" s="59"/>
      <c r="P63" s="1"/>
      <c r="Q63" s="1"/>
      <c r="R63" s="1"/>
      <c r="S63" s="1"/>
      <c r="T63" s="1"/>
      <c r="U63" s="1"/>
      <c r="V63" s="1"/>
      <c r="W63" s="1"/>
      <c r="X63" s="1"/>
      <c r="Y63" s="1"/>
      <c r="Z63" s="1"/>
      <c r="AA63" s="1"/>
      <c r="AB63" s="39" t="s">
        <v>71</v>
      </c>
      <c r="AC63" s="51">
        <f>SUM(AC36:AC62)</f>
        <v>1</v>
      </c>
      <c r="AD63" s="51">
        <f>SUM(AD36:AD62)</f>
        <v>1</v>
      </c>
      <c r="AE63" s="1"/>
      <c r="AF63" s="1"/>
      <c r="AG63" s="1"/>
      <c r="AH63" s="1"/>
      <c r="AI63" s="1"/>
      <c r="AJ63" s="1"/>
      <c r="AK63" s="1"/>
      <c r="AL63" s="1"/>
      <c r="AM63" s="1"/>
      <c r="AN63" s="1"/>
      <c r="AO63" s="1"/>
      <c r="AP63" s="1"/>
      <c r="AQ63" s="1"/>
      <c r="AR63" s="1"/>
      <c r="AS63" s="1"/>
      <c r="AT63" s="1"/>
      <c r="AU63" s="1"/>
      <c r="AV63" s="1"/>
      <c r="AW63" s="1"/>
      <c r="AX63" s="1"/>
      <c r="AY63" s="1"/>
    </row>
    <row r="64" spans="1:51" x14ac:dyDescent="0.25">
      <c r="A64" s="44"/>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spans="1:51" x14ac:dyDescent="0.25">
      <c r="A65" s="44"/>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spans="1:51" x14ac:dyDescent="0.25">
      <c r="A66" s="44"/>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spans="1:51" x14ac:dyDescent="0.25">
      <c r="A67" s="44"/>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spans="1:51" x14ac:dyDescent="0.25">
      <c r="A68" s="44"/>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spans="1:51" x14ac:dyDescent="0.25">
      <c r="A69" s="44"/>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spans="1:51" x14ac:dyDescent="0.25">
      <c r="A70" s="44"/>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spans="1:51" x14ac:dyDescent="0.25">
      <c r="A71" s="44"/>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spans="1:51" x14ac:dyDescent="0.25">
      <c r="A72" s="44"/>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spans="1:51" x14ac:dyDescent="0.25">
      <c r="A73" s="44"/>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spans="1:51" x14ac:dyDescent="0.25">
      <c r="A74" s="44"/>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spans="1:51" x14ac:dyDescent="0.25">
      <c r="A75" s="44"/>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spans="1:51" x14ac:dyDescent="0.25">
      <c r="A76" s="44"/>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spans="1:51" x14ac:dyDescent="0.25">
      <c r="A77" s="44"/>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spans="1:51" x14ac:dyDescent="0.25">
      <c r="A78" s="44"/>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spans="1:51" x14ac:dyDescent="0.25">
      <c r="A79" s="44"/>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spans="1:51" x14ac:dyDescent="0.25">
      <c r="A80" s="44"/>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spans="1:51" x14ac:dyDescent="0.25">
      <c r="A81" s="44"/>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spans="1:51" x14ac:dyDescent="0.25">
      <c r="A82" s="44"/>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spans="1:51" x14ac:dyDescent="0.25">
      <c r="A83" s="44"/>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spans="1:51" x14ac:dyDescent="0.25">
      <c r="A84" s="44"/>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spans="1:51" x14ac:dyDescent="0.25">
      <c r="A85" s="44"/>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spans="1:51" x14ac:dyDescent="0.25">
      <c r="A86" s="44"/>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spans="1:51" x14ac:dyDescent="0.25">
      <c r="A87" s="44"/>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spans="1:51" x14ac:dyDescent="0.25">
      <c r="A88" s="44"/>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spans="1:51" x14ac:dyDescent="0.25">
      <c r="A89" s="44"/>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spans="1:51" x14ac:dyDescent="0.25">
      <c r="A90" s="44"/>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spans="1:51" x14ac:dyDescent="0.25">
      <c r="A91" s="44"/>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spans="1:51" x14ac:dyDescent="0.25">
      <c r="A92" s="44"/>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spans="1:51" x14ac:dyDescent="0.25">
      <c r="A93" s="44"/>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spans="1:51" x14ac:dyDescent="0.25">
      <c r="A94" s="44"/>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spans="1:51" x14ac:dyDescent="0.25">
      <c r="A95" s="44"/>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spans="1:51" x14ac:dyDescent="0.25">
      <c r="A96" s="44"/>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spans="1:51" x14ac:dyDescent="0.25">
      <c r="A97" s="44"/>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spans="1:51" x14ac:dyDescent="0.25">
      <c r="A98" s="44"/>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spans="1:51" x14ac:dyDescent="0.25">
      <c r="A99" s="44"/>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spans="1:51" x14ac:dyDescent="0.25">
      <c r="A100" s="44"/>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spans="1:51" x14ac:dyDescent="0.25">
      <c r="A101" s="44"/>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spans="1:51" x14ac:dyDescent="0.25">
      <c r="A102" s="44"/>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spans="1:51" x14ac:dyDescent="0.25">
      <c r="A103" s="44"/>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spans="1:51" x14ac:dyDescent="0.25">
      <c r="A104" s="4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spans="1:51" x14ac:dyDescent="0.25">
      <c r="A105" s="44"/>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spans="1:51" x14ac:dyDescent="0.25">
      <c r="A106" s="44"/>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spans="1:51" x14ac:dyDescent="0.25">
      <c r="A107" s="44"/>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51" x14ac:dyDescent="0.25">
      <c r="A108" s="44"/>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51" x14ac:dyDescent="0.25">
      <c r="A109" s="44"/>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51" x14ac:dyDescent="0.25">
      <c r="A110" s="44"/>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51" x14ac:dyDescent="0.25">
      <c r="A111" s="44"/>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51" x14ac:dyDescent="0.25">
      <c r="A112" s="44"/>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27" x14ac:dyDescent="0.25">
      <c r="A113" s="44"/>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4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sheetData>
  <sheetProtection algorithmName="SHA-512" hashValue="MWn4zQXi0zOCml2ggbjnXHWeBNqM88owgfsWZVYrlANQ6k+QX7XTB4owAbfKpejBSNX9N4Urcl1xS1heyAcYIQ==" saltValue="v8ND8Mv4ZMB17D0o1REIaA==" spinCount="100000" sheet="1" objects="1" scenarios="1"/>
  <mergeCells count="5">
    <mergeCell ref="H34:J34"/>
    <mergeCell ref="A1:L1"/>
    <mergeCell ref="M1:S1"/>
    <mergeCell ref="A2:S2"/>
    <mergeCell ref="G4:M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8C88-A2D9-42FF-9FE7-8B4B107BBB68}">
  <dimension ref="A1:BC114"/>
  <sheetViews>
    <sheetView zoomScale="80" zoomScaleNormal="80" workbookViewId="0">
      <selection activeCell="C6" sqref="C6"/>
    </sheetView>
  </sheetViews>
  <sheetFormatPr defaultRowHeight="13.8" x14ac:dyDescent="0.25"/>
  <cols>
    <col min="1" max="1" width="14.3984375" style="47" customWidth="1"/>
    <col min="6" max="6" width="11.3984375" customWidth="1"/>
    <col min="12" max="12" width="11.3984375" bestFit="1" customWidth="1"/>
    <col min="16" max="17" width="11.3984375" bestFit="1" customWidth="1"/>
  </cols>
  <sheetData>
    <row r="1" spans="1:55" ht="150" customHeight="1" x14ac:dyDescent="0.25">
      <c r="A1" s="85" t="s">
        <v>96</v>
      </c>
      <c r="B1" s="85"/>
      <c r="C1" s="85"/>
      <c r="D1" s="85"/>
      <c r="E1" s="85"/>
      <c r="F1" s="85"/>
      <c r="G1" s="85"/>
      <c r="H1" s="85"/>
      <c r="I1" s="85"/>
      <c r="J1" s="85"/>
      <c r="K1" s="85"/>
      <c r="L1" s="85"/>
      <c r="M1" s="86" t="s">
        <v>88</v>
      </c>
      <c r="N1" s="86"/>
      <c r="O1" s="86"/>
      <c r="P1" s="86"/>
      <c r="Q1" s="86"/>
      <c r="R1" s="86"/>
      <c r="S1" s="86"/>
      <c r="T1" s="44"/>
      <c r="U1" s="44"/>
      <c r="V1" s="44"/>
      <c r="W1" s="44"/>
      <c r="X1" s="44"/>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s="1" customFormat="1" x14ac:dyDescent="0.25">
      <c r="A2" s="88" t="s">
        <v>87</v>
      </c>
      <c r="B2" s="89"/>
      <c r="C2" s="89"/>
      <c r="D2" s="89"/>
      <c r="E2" s="89"/>
      <c r="F2" s="89"/>
      <c r="G2" s="89"/>
      <c r="H2" s="89"/>
      <c r="I2" s="89"/>
      <c r="J2" s="89"/>
      <c r="K2" s="89"/>
      <c r="L2" s="89"/>
      <c r="M2" s="89"/>
      <c r="N2" s="89"/>
      <c r="O2" s="89"/>
      <c r="P2" s="89"/>
      <c r="Q2" s="89"/>
      <c r="R2" s="89"/>
      <c r="S2" s="89"/>
    </row>
    <row r="3" spans="1:55" s="1" customFormat="1" x14ac:dyDescent="0.25">
      <c r="A3" s="45"/>
      <c r="B3" s="40"/>
      <c r="C3" s="40"/>
      <c r="D3" s="40"/>
      <c r="E3" s="40"/>
      <c r="F3" s="40"/>
      <c r="G3" s="46"/>
      <c r="H3" s="46"/>
      <c r="I3" s="46"/>
      <c r="J3" s="46"/>
      <c r="K3" s="46"/>
      <c r="L3" s="46"/>
      <c r="M3" s="46"/>
      <c r="N3" s="40"/>
      <c r="O3" s="40"/>
    </row>
    <row r="4" spans="1:55" s="1" customFormat="1" x14ac:dyDescent="0.25">
      <c r="G4" s="87" t="s">
        <v>100</v>
      </c>
      <c r="H4" s="87"/>
      <c r="I4" s="87"/>
      <c r="J4" s="87"/>
      <c r="K4" s="87"/>
      <c r="L4" s="87"/>
      <c r="M4" s="87"/>
    </row>
    <row r="5" spans="1:55" s="52" customFormat="1" ht="34.799999999999997" x14ac:dyDescent="0.25">
      <c r="A5" s="47"/>
      <c r="B5" s="48" t="e" cm="1" vm="2">
        <f t="array" ref="B5:AB5">IF(TRANSPOSE(A6:A32)=0,"-",TRANSPOSE(A6:A32))</f>
        <v>#VALUE!</v>
      </c>
      <c r="C5" s="49" t="str">
        <v>-</v>
      </c>
      <c r="D5" s="48" t="str">
        <v>-</v>
      </c>
      <c r="E5" s="48" t="str">
        <v>-</v>
      </c>
      <c r="F5" s="48" t="str">
        <v>-</v>
      </c>
      <c r="G5" s="48" t="str">
        <v>-</v>
      </c>
      <c r="H5" s="48" t="str">
        <v>-</v>
      </c>
      <c r="I5" s="48" t="str">
        <v>-</v>
      </c>
      <c r="J5" s="48" t="str">
        <v>-</v>
      </c>
      <c r="K5" s="48" t="str">
        <v>-</v>
      </c>
      <c r="L5" s="48" t="str">
        <v>-</v>
      </c>
      <c r="M5" s="48" t="str">
        <v>-</v>
      </c>
      <c r="N5" s="48" t="str">
        <v>-</v>
      </c>
      <c r="O5" s="48" t="str">
        <v>-</v>
      </c>
      <c r="P5" s="48" t="str">
        <v>-</v>
      </c>
      <c r="Q5" s="48" t="str">
        <v>-</v>
      </c>
      <c r="R5" s="48" t="str">
        <v>-</v>
      </c>
      <c r="S5" s="48" t="str">
        <v>-</v>
      </c>
      <c r="T5" s="48" t="str">
        <v>-</v>
      </c>
      <c r="U5" s="48" t="str">
        <v>-</v>
      </c>
      <c r="V5" s="48" t="str">
        <v>-</v>
      </c>
      <c r="W5" s="48" t="str">
        <v>-</v>
      </c>
      <c r="X5" s="48" t="str">
        <v>-</v>
      </c>
      <c r="Y5" s="48" t="str">
        <v>-</v>
      </c>
      <c r="Z5" s="48" t="str">
        <v>-</v>
      </c>
      <c r="AA5" s="48" t="str">
        <v>-</v>
      </c>
      <c r="AB5" s="48" t="str">
        <v>-</v>
      </c>
      <c r="AC5" s="1"/>
      <c r="AD5" s="1"/>
      <c r="AE5" s="1"/>
      <c r="AF5" s="1"/>
      <c r="AG5" s="1"/>
      <c r="AH5" s="1"/>
      <c r="AI5" s="1"/>
      <c r="AJ5" s="1"/>
      <c r="AK5" s="1"/>
      <c r="AL5" s="1"/>
      <c r="AM5" s="1"/>
      <c r="AN5" s="1"/>
      <c r="AO5" s="1"/>
      <c r="AP5" s="1"/>
      <c r="AQ5" s="1"/>
      <c r="AR5" s="1"/>
      <c r="AS5" s="1"/>
      <c r="AT5" s="1"/>
      <c r="AU5" s="1"/>
      <c r="AV5" s="1"/>
      <c r="AW5" s="1"/>
      <c r="AX5" s="1"/>
      <c r="AY5" s="1"/>
      <c r="AZ5" s="1"/>
      <c r="BA5" s="1"/>
      <c r="BB5" s="50"/>
      <c r="BC5" s="51"/>
    </row>
    <row r="6" spans="1:55" x14ac:dyDescent="0.25">
      <c r="A6" s="49" t="e" cm="1" vm="2">
        <f t="array" ref="A6">_xlfn._xlws.FILTER('AHP(Structure the hierarchy)'!B6:B33, 'AHP(Structure the hierarchy)'!B6:B33&lt;&gt;"")</f>
        <v>#VALUE!</v>
      </c>
      <c r="B6" s="53">
        <v>1</v>
      </c>
      <c r="C6" s="42"/>
      <c r="D6" s="42"/>
      <c r="E6" s="42"/>
      <c r="F6" s="42"/>
      <c r="G6" s="42"/>
      <c r="H6" s="42"/>
      <c r="I6" s="42"/>
      <c r="J6" s="42"/>
      <c r="K6" s="42"/>
      <c r="L6" s="43"/>
      <c r="M6" s="43"/>
      <c r="N6" s="43"/>
      <c r="O6" s="43"/>
      <c r="P6" s="43"/>
      <c r="Q6" s="42"/>
      <c r="R6" s="42"/>
      <c r="S6" s="42"/>
      <c r="T6" s="42"/>
      <c r="U6" s="42"/>
      <c r="V6" s="42"/>
      <c r="W6" s="42"/>
      <c r="X6" s="42"/>
      <c r="Y6" s="42"/>
      <c r="Z6" s="42"/>
      <c r="AA6" s="42"/>
      <c r="AB6" s="42"/>
      <c r="AC6" s="1"/>
      <c r="AD6" s="1"/>
      <c r="AE6" s="1"/>
      <c r="AF6" s="1"/>
      <c r="AG6" s="1"/>
      <c r="AH6" s="1"/>
      <c r="AI6" s="1"/>
      <c r="AJ6" s="1"/>
      <c r="AK6" s="1"/>
      <c r="AL6" s="1"/>
      <c r="AM6" s="1"/>
      <c r="AN6" s="1"/>
      <c r="AO6" s="1"/>
      <c r="AP6" s="1"/>
      <c r="AQ6" s="1"/>
      <c r="AR6" s="1"/>
      <c r="AS6" s="1"/>
      <c r="AT6" s="1"/>
      <c r="AU6" s="1"/>
      <c r="AV6" s="1"/>
      <c r="AW6" s="1"/>
      <c r="AX6" s="1"/>
      <c r="AY6" s="1"/>
      <c r="AZ6" s="1"/>
      <c r="BA6" s="1"/>
      <c r="BB6" s="1"/>
      <c r="BC6" s="1"/>
    </row>
    <row r="7" spans="1:55" ht="23.4" x14ac:dyDescent="0.25">
      <c r="A7" s="49"/>
      <c r="B7" s="52">
        <f>IF(C6=0,0,1/C6)</f>
        <v>0</v>
      </c>
      <c r="C7" s="53">
        <v>1</v>
      </c>
      <c r="D7" s="42"/>
      <c r="E7" s="42"/>
      <c r="F7" s="42"/>
      <c r="G7" s="42"/>
      <c r="H7" s="42"/>
      <c r="I7" s="42"/>
      <c r="J7" s="42"/>
      <c r="K7" s="42"/>
      <c r="L7" s="43"/>
      <c r="M7" s="43"/>
      <c r="N7" s="43"/>
      <c r="O7" s="43"/>
      <c r="P7" s="43"/>
      <c r="Q7" s="42"/>
      <c r="R7" s="42"/>
      <c r="S7" s="42"/>
      <c r="T7" s="42"/>
      <c r="U7" s="42"/>
      <c r="V7" s="42"/>
      <c r="W7" s="42"/>
      <c r="X7" s="42"/>
      <c r="Y7" s="42"/>
      <c r="Z7" s="42"/>
      <c r="AA7" s="42"/>
      <c r="AB7" s="42"/>
      <c r="AC7" s="1"/>
      <c r="AD7" s="1"/>
      <c r="AE7" s="1"/>
      <c r="AF7" s="1"/>
      <c r="AG7" s="1"/>
      <c r="AH7" s="1"/>
      <c r="AI7" s="1"/>
      <c r="AJ7" s="1"/>
      <c r="AK7" s="1"/>
      <c r="AL7" s="1"/>
      <c r="AM7" s="1"/>
      <c r="AN7" s="1"/>
      <c r="AO7" s="1"/>
      <c r="AP7" s="1"/>
      <c r="AQ7" s="1"/>
      <c r="AR7" s="1"/>
      <c r="AS7" s="1"/>
      <c r="AT7" s="1"/>
      <c r="AU7" s="1"/>
      <c r="AV7" s="1"/>
      <c r="AW7" s="1"/>
      <c r="AX7" s="1"/>
      <c r="AY7" s="1"/>
      <c r="AZ7" s="1"/>
      <c r="BA7" s="1"/>
      <c r="BB7" s="1"/>
      <c r="BC7" s="1"/>
    </row>
    <row r="8" spans="1:55" x14ac:dyDescent="0.25">
      <c r="A8" s="49"/>
      <c r="B8" s="52">
        <f>IF(D6=0,0,1/D6)</f>
        <v>0</v>
      </c>
      <c r="C8" s="52">
        <f>IF(D7=0,0,1/D7)</f>
        <v>0</v>
      </c>
      <c r="D8" s="53">
        <v>1</v>
      </c>
      <c r="E8" s="42"/>
      <c r="F8" s="42"/>
      <c r="G8" s="42"/>
      <c r="H8" s="42"/>
      <c r="I8" s="42"/>
      <c r="J8" s="42"/>
      <c r="K8" s="42"/>
      <c r="L8" s="43"/>
      <c r="M8" s="43"/>
      <c r="N8" s="43"/>
      <c r="O8" s="43"/>
      <c r="P8" s="43"/>
      <c r="Q8" s="42"/>
      <c r="R8" s="42"/>
      <c r="S8" s="42"/>
      <c r="T8" s="42"/>
      <c r="U8" s="42"/>
      <c r="V8" s="42"/>
      <c r="W8" s="42"/>
      <c r="X8" s="42"/>
      <c r="Y8" s="42"/>
      <c r="Z8" s="42"/>
      <c r="AA8" s="42"/>
      <c r="AB8" s="42"/>
      <c r="AC8" s="1"/>
      <c r="AD8" s="1"/>
      <c r="AE8" s="1"/>
      <c r="AF8" s="1"/>
      <c r="AG8" s="1"/>
      <c r="AH8" s="1"/>
      <c r="AI8" s="1"/>
      <c r="AJ8" s="1"/>
      <c r="AK8" s="1"/>
      <c r="AL8" s="1"/>
      <c r="AM8" s="1"/>
      <c r="AN8" s="1"/>
      <c r="AO8" s="1"/>
      <c r="AP8" s="1"/>
      <c r="AQ8" s="1"/>
      <c r="AR8" s="1"/>
      <c r="AS8" s="1"/>
      <c r="AT8" s="1"/>
      <c r="AU8" s="1"/>
      <c r="AV8" s="1"/>
      <c r="AW8" s="1"/>
      <c r="AX8" s="1"/>
      <c r="AY8" s="1"/>
      <c r="AZ8" s="1"/>
      <c r="BA8" s="1"/>
      <c r="BB8" s="1"/>
      <c r="BC8" s="1"/>
    </row>
    <row r="9" spans="1:55" ht="23.4" x14ac:dyDescent="0.25">
      <c r="A9" s="49"/>
      <c r="B9" s="52">
        <f>IF(E6=0,0,1/E6)</f>
        <v>0</v>
      </c>
      <c r="C9" s="52">
        <f>IF(E7=0,0,1/E7)</f>
        <v>0</v>
      </c>
      <c r="D9" s="52">
        <f>IF(E8=0,0,1/E8)</f>
        <v>0</v>
      </c>
      <c r="E9" s="53">
        <v>1</v>
      </c>
      <c r="F9" s="42"/>
      <c r="G9" s="42"/>
      <c r="H9" s="42"/>
      <c r="I9" s="42"/>
      <c r="J9" s="42"/>
      <c r="K9" s="42"/>
      <c r="L9" s="43"/>
      <c r="M9" s="43"/>
      <c r="N9" s="43"/>
      <c r="O9" s="43"/>
      <c r="P9" s="43"/>
      <c r="Q9" s="42"/>
      <c r="R9" s="42"/>
      <c r="S9" s="42"/>
      <c r="T9" s="42"/>
      <c r="U9" s="42"/>
      <c r="V9" s="42"/>
      <c r="W9" s="42"/>
      <c r="X9" s="42"/>
      <c r="Y9" s="42"/>
      <c r="Z9" s="42"/>
      <c r="AA9" s="42"/>
      <c r="AB9" s="42"/>
      <c r="AC9" s="1"/>
      <c r="AD9" s="1"/>
      <c r="AE9" s="1"/>
      <c r="AF9" s="1"/>
      <c r="AG9" s="1"/>
      <c r="AH9" s="1"/>
      <c r="AI9" s="1"/>
      <c r="AJ9" s="1"/>
      <c r="AK9" s="1"/>
      <c r="AL9" s="1"/>
      <c r="AM9" s="1"/>
      <c r="AN9" s="1"/>
      <c r="AO9" s="1"/>
      <c r="AP9" s="1"/>
      <c r="AQ9" s="1"/>
      <c r="AR9" s="1"/>
      <c r="AS9" s="1"/>
      <c r="AT9" s="1"/>
      <c r="AU9" s="1"/>
      <c r="AV9" s="1"/>
      <c r="AW9" s="1"/>
      <c r="AX9" s="1"/>
      <c r="AY9" s="1"/>
      <c r="AZ9" s="1"/>
      <c r="BA9" s="1"/>
      <c r="BB9" s="1"/>
      <c r="BC9" s="1"/>
    </row>
    <row r="10" spans="1:55" x14ac:dyDescent="0.25">
      <c r="A10" s="49"/>
      <c r="B10" s="52">
        <f>IF(F6=0,0,1/F6)</f>
        <v>0</v>
      </c>
      <c r="C10" s="52">
        <f>IF(F7=0,0,1/F7)</f>
        <v>0</v>
      </c>
      <c r="D10" s="52">
        <f>IF(F8=0,0,1/F8)</f>
        <v>0</v>
      </c>
      <c r="E10" s="52">
        <f>IF(F9=0,0,1/F9)</f>
        <v>0</v>
      </c>
      <c r="F10" s="53">
        <v>1</v>
      </c>
      <c r="G10" s="42"/>
      <c r="H10" s="42"/>
      <c r="I10" s="42"/>
      <c r="J10" s="42"/>
      <c r="K10" s="42"/>
      <c r="L10" s="43"/>
      <c r="M10" s="43"/>
      <c r="N10" s="43"/>
      <c r="O10" s="43"/>
      <c r="P10" s="43"/>
      <c r="Q10" s="42"/>
      <c r="R10" s="42"/>
      <c r="S10" s="42"/>
      <c r="T10" s="42"/>
      <c r="U10" s="42"/>
      <c r="V10" s="42"/>
      <c r="W10" s="42"/>
      <c r="X10" s="42"/>
      <c r="Y10" s="42"/>
      <c r="Z10" s="42"/>
      <c r="AA10" s="42"/>
      <c r="AB10" s="42"/>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row>
    <row r="11" spans="1:55" x14ac:dyDescent="0.25">
      <c r="A11" s="49"/>
      <c r="B11" s="52">
        <f>IF(G6=0,0,1/G6)</f>
        <v>0</v>
      </c>
      <c r="C11" s="52">
        <f>IF(G7=0,0,1/G7)</f>
        <v>0</v>
      </c>
      <c r="D11" s="52">
        <f>IF(G8=0,0,1/G8)</f>
        <v>0</v>
      </c>
      <c r="E11" s="52">
        <f>IF(G9=0,0,1/G9)</f>
        <v>0</v>
      </c>
      <c r="F11" s="52">
        <f>IF(G10=0,0,1/G10)</f>
        <v>0</v>
      </c>
      <c r="G11" s="53">
        <v>1</v>
      </c>
      <c r="H11" s="42"/>
      <c r="I11" s="42"/>
      <c r="J11" s="42"/>
      <c r="K11" s="42"/>
      <c r="L11" s="43"/>
      <c r="M11" s="43"/>
      <c r="N11" s="43"/>
      <c r="O11" s="43"/>
      <c r="P11" s="43"/>
      <c r="Q11" s="42"/>
      <c r="R11" s="42"/>
      <c r="S11" s="42"/>
      <c r="T11" s="42"/>
      <c r="U11" s="42"/>
      <c r="V11" s="42"/>
      <c r="W11" s="42"/>
      <c r="X11" s="42"/>
      <c r="Y11" s="42"/>
      <c r="Z11" s="42"/>
      <c r="AA11" s="42"/>
      <c r="AB11" s="42"/>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row>
    <row r="12" spans="1:55" x14ac:dyDescent="0.25">
      <c r="A12" s="49"/>
      <c r="B12" s="52">
        <f>IF(H6=0,0,1/H6)</f>
        <v>0</v>
      </c>
      <c r="C12" s="52">
        <f>IF(H7=0,0,1/H7)</f>
        <v>0</v>
      </c>
      <c r="D12" s="52">
        <f>IF(H8=0,0,1/H8)</f>
        <v>0</v>
      </c>
      <c r="E12" s="52">
        <f>IF(H9=0,0,1/H9)</f>
        <v>0</v>
      </c>
      <c r="F12" s="52">
        <f>IF(H10=0,0,1/H10)</f>
        <v>0</v>
      </c>
      <c r="G12" s="52">
        <f>IF(H11=0,0,1/H11)</f>
        <v>0</v>
      </c>
      <c r="H12" s="53">
        <v>1</v>
      </c>
      <c r="I12" s="42"/>
      <c r="J12" s="42"/>
      <c r="K12" s="42"/>
      <c r="L12" s="43"/>
      <c r="M12" s="43"/>
      <c r="N12" s="43"/>
      <c r="O12" s="43"/>
      <c r="P12" s="43"/>
      <c r="Q12" s="42"/>
      <c r="R12" s="42"/>
      <c r="S12" s="42"/>
      <c r="T12" s="42"/>
      <c r="U12" s="42"/>
      <c r="V12" s="42"/>
      <c r="W12" s="42"/>
      <c r="X12" s="42"/>
      <c r="Y12" s="42"/>
      <c r="Z12" s="42"/>
      <c r="AA12" s="42"/>
      <c r="AB12" s="42"/>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row>
    <row r="13" spans="1:55" x14ac:dyDescent="0.25">
      <c r="A13" s="49"/>
      <c r="B13" s="52">
        <f>IF(I6=0,0,1/I6)</f>
        <v>0</v>
      </c>
      <c r="C13" s="52">
        <f>IF(I7=0,0,1/I7)</f>
        <v>0</v>
      </c>
      <c r="D13" s="52">
        <f>IF(I8=0,0,1/I8)</f>
        <v>0</v>
      </c>
      <c r="E13" s="52">
        <f>IF(I9=0,0,1/I9)</f>
        <v>0</v>
      </c>
      <c r="F13" s="52">
        <f>IF(I10=0,0,1/I10)</f>
        <v>0</v>
      </c>
      <c r="G13" s="52">
        <f>IF(I11=0,0,1/I11)</f>
        <v>0</v>
      </c>
      <c r="H13" s="52">
        <f>IF(I12=0,0,1/I12)</f>
        <v>0</v>
      </c>
      <c r="I13" s="53">
        <v>1</v>
      </c>
      <c r="J13" s="42"/>
      <c r="K13" s="42"/>
      <c r="L13" s="42"/>
      <c r="M13" s="42"/>
      <c r="N13" s="43"/>
      <c r="O13" s="43"/>
      <c r="P13" s="43"/>
      <c r="Q13" s="42"/>
      <c r="R13" s="42"/>
      <c r="S13" s="42"/>
      <c r="T13" s="42"/>
      <c r="U13" s="42"/>
      <c r="V13" s="42"/>
      <c r="W13" s="42"/>
      <c r="X13" s="42"/>
      <c r="Y13" s="42"/>
      <c r="Z13" s="42"/>
      <c r="AA13" s="42"/>
      <c r="AB13" s="42"/>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row>
    <row r="14" spans="1:55" x14ac:dyDescent="0.25">
      <c r="A14" s="49"/>
      <c r="B14" s="52">
        <f>IF(J6=0,0,1/J6)</f>
        <v>0</v>
      </c>
      <c r="C14" s="52">
        <f>IF(J7=0,0,1/J7)</f>
        <v>0</v>
      </c>
      <c r="D14" s="52">
        <f>IF(J8=0,0,1/J8)</f>
        <v>0</v>
      </c>
      <c r="E14" s="52">
        <f>IF(J9=0,0,1/J9)</f>
        <v>0</v>
      </c>
      <c r="F14" s="52">
        <f>IF(J10=0,0,1/J10)</f>
        <v>0</v>
      </c>
      <c r="G14" s="52">
        <f>IF(J11=0,0,1/J11)</f>
        <v>0</v>
      </c>
      <c r="H14" s="52">
        <f>IF(J12=0,0,1/J12)</f>
        <v>0</v>
      </c>
      <c r="I14" s="52">
        <f>IF(J13=0,0,1/J13)</f>
        <v>0</v>
      </c>
      <c r="J14" s="53">
        <v>1</v>
      </c>
      <c r="K14" s="42"/>
      <c r="L14" s="42"/>
      <c r="M14" s="42"/>
      <c r="N14" s="42"/>
      <c r="O14" s="42"/>
      <c r="P14" s="42"/>
      <c r="Q14" s="42"/>
      <c r="R14" s="42"/>
      <c r="S14" s="42"/>
      <c r="T14" s="42"/>
      <c r="U14" s="42"/>
      <c r="V14" s="42"/>
      <c r="W14" s="42"/>
      <c r="X14" s="42"/>
      <c r="Y14" s="42"/>
      <c r="Z14" s="42"/>
      <c r="AA14" s="42"/>
      <c r="AB14" s="42"/>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row>
    <row r="15" spans="1:55" x14ac:dyDescent="0.25">
      <c r="A15" s="49"/>
      <c r="B15" s="52">
        <f>IF(K6=0,0,1/K6)</f>
        <v>0</v>
      </c>
      <c r="C15" s="52">
        <f>IF(K7=0,0,1/K7)</f>
        <v>0</v>
      </c>
      <c r="D15" s="52">
        <f>IF(K8=0,0,1/K8)</f>
        <v>0</v>
      </c>
      <c r="E15" s="52">
        <f>IF(K9=0,0,1/K9)</f>
        <v>0</v>
      </c>
      <c r="F15" s="52">
        <f>IF(K10=0,0,1/K10)</f>
        <v>0</v>
      </c>
      <c r="G15" s="52">
        <f>IF(K11=0,0,1/K11)</f>
        <v>0</v>
      </c>
      <c r="H15" s="52">
        <f>IF(K12=0,0,1/K12)</f>
        <v>0</v>
      </c>
      <c r="I15" s="52">
        <f>IF(K13=0,0,1/K13)</f>
        <v>0</v>
      </c>
      <c r="J15" s="52">
        <f>IF(K14=0,0,1/K14)</f>
        <v>0</v>
      </c>
      <c r="K15" s="53">
        <v>1</v>
      </c>
      <c r="L15" s="42"/>
      <c r="M15" s="42"/>
      <c r="N15" s="42"/>
      <c r="O15" s="42"/>
      <c r="P15" s="42"/>
      <c r="Q15" s="42"/>
      <c r="R15" s="42"/>
      <c r="S15" s="42"/>
      <c r="T15" s="42"/>
      <c r="U15" s="42"/>
      <c r="V15" s="42"/>
      <c r="W15" s="42"/>
      <c r="X15" s="42"/>
      <c r="Y15" s="42"/>
      <c r="Z15" s="42"/>
      <c r="AA15" s="42"/>
      <c r="AB15" s="42"/>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row>
    <row r="16" spans="1:55" x14ac:dyDescent="0.25">
      <c r="A16" s="49"/>
      <c r="B16" s="52">
        <f>IF(L6=0,0,1/L6)</f>
        <v>0</v>
      </c>
      <c r="C16" s="52">
        <f>IF(L7=0,0,1/L7)</f>
        <v>0</v>
      </c>
      <c r="D16" s="52">
        <f>IF(L8=0,0,1/L8)</f>
        <v>0</v>
      </c>
      <c r="E16" s="52">
        <f>IF(L9=0,0,1/L9)</f>
        <v>0</v>
      </c>
      <c r="F16" s="52">
        <f>IF(L10=0,0,1/L10)</f>
        <v>0</v>
      </c>
      <c r="G16" s="52">
        <f>IF(L11=0,0,1/L11)</f>
        <v>0</v>
      </c>
      <c r="H16" s="52">
        <f>IF(L12=0,0,1/L12)</f>
        <v>0</v>
      </c>
      <c r="I16" s="52">
        <f>IF(L13=0,0,1/L13)</f>
        <v>0</v>
      </c>
      <c r="J16" s="52">
        <f>IF(L14=0,0,1/L14)</f>
        <v>0</v>
      </c>
      <c r="K16" s="52">
        <f>IF(L15=0,0,1/L15)</f>
        <v>0</v>
      </c>
      <c r="L16" s="53">
        <v>1</v>
      </c>
      <c r="M16" s="42"/>
      <c r="N16" s="42"/>
      <c r="O16" s="42"/>
      <c r="P16" s="42"/>
      <c r="Q16" s="42"/>
      <c r="R16" s="42"/>
      <c r="S16" s="42"/>
      <c r="T16" s="42"/>
      <c r="U16" s="42"/>
      <c r="V16" s="42"/>
      <c r="W16" s="42"/>
      <c r="X16" s="42"/>
      <c r="Y16" s="42"/>
      <c r="Z16" s="42"/>
      <c r="AA16" s="42"/>
      <c r="AB16" s="42"/>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row>
    <row r="17" spans="1:55" x14ac:dyDescent="0.25">
      <c r="A17" s="49"/>
      <c r="B17" s="52">
        <f>IF(M6=0,0,1/M6)</f>
        <v>0</v>
      </c>
      <c r="C17" s="52">
        <f>IF(M7=0,0,1/M7)</f>
        <v>0</v>
      </c>
      <c r="D17" s="52">
        <f>IF(M8=0,0,1/M8)</f>
        <v>0</v>
      </c>
      <c r="E17" s="52">
        <f>IF(M9=0,0,1/M9)</f>
        <v>0</v>
      </c>
      <c r="F17" s="52">
        <f>IF(M10=0,0,1/M10)</f>
        <v>0</v>
      </c>
      <c r="G17" s="52">
        <f>IF(M11=0,0,1/M11)</f>
        <v>0</v>
      </c>
      <c r="H17" s="52">
        <f>IF(M12=0,0,1/M12)</f>
        <v>0</v>
      </c>
      <c r="I17" s="52">
        <f>IF(M13=0,0,1/M13)</f>
        <v>0</v>
      </c>
      <c r="J17" s="52">
        <f>IF(M14=0,0,1/M14)</f>
        <v>0</v>
      </c>
      <c r="K17" s="52">
        <f>IF(M15=0,0,1/M15)</f>
        <v>0</v>
      </c>
      <c r="L17" s="52">
        <f>IF(M16=0,0,1/M16)</f>
        <v>0</v>
      </c>
      <c r="M17" s="53">
        <v>1</v>
      </c>
      <c r="N17" s="42"/>
      <c r="O17" s="42"/>
      <c r="P17" s="42"/>
      <c r="Q17" s="42"/>
      <c r="R17" s="42"/>
      <c r="S17" s="42"/>
      <c r="T17" s="42"/>
      <c r="U17" s="42"/>
      <c r="V17" s="42"/>
      <c r="W17" s="42"/>
      <c r="X17" s="42"/>
      <c r="Y17" s="42"/>
      <c r="Z17" s="42"/>
      <c r="AA17" s="42"/>
      <c r="AB17" s="42"/>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row>
    <row r="18" spans="1:55" x14ac:dyDescent="0.25">
      <c r="A18" s="49"/>
      <c r="B18" s="52">
        <f>IF(N6=0,0,1/N6)</f>
        <v>0</v>
      </c>
      <c r="C18" s="52">
        <f>IF(N7=0,0,1/N7)</f>
        <v>0</v>
      </c>
      <c r="D18" s="52">
        <f>IF(N8=0,0,1/N8)</f>
        <v>0</v>
      </c>
      <c r="E18" s="52">
        <f>IF(N9=0,0,1/N9)</f>
        <v>0</v>
      </c>
      <c r="F18" s="52">
        <f>IF(N10=0,0,1/N10)</f>
        <v>0</v>
      </c>
      <c r="G18" s="52">
        <f>IF(N11=0,0,1/N11)</f>
        <v>0</v>
      </c>
      <c r="H18" s="52">
        <f>IF(N12=0,0,1/N12)</f>
        <v>0</v>
      </c>
      <c r="I18" s="52">
        <f>IF(N13=0,0,1/N13)</f>
        <v>0</v>
      </c>
      <c r="J18" s="52">
        <f>IF(N14=0,0,1/N14)</f>
        <v>0</v>
      </c>
      <c r="K18" s="52">
        <f>IF(N15=0,0,1/N15)</f>
        <v>0</v>
      </c>
      <c r="L18" s="52">
        <f>IF(N16=0,0,1/N16)</f>
        <v>0</v>
      </c>
      <c r="M18" s="52">
        <f>IF(N17=0,0,1/N17)</f>
        <v>0</v>
      </c>
      <c r="N18" s="53">
        <v>1</v>
      </c>
      <c r="O18" s="42"/>
      <c r="P18" s="42"/>
      <c r="Q18" s="42"/>
      <c r="R18" s="42"/>
      <c r="S18" s="42"/>
      <c r="T18" s="42"/>
      <c r="U18" s="42"/>
      <c r="V18" s="42"/>
      <c r="W18" s="42"/>
      <c r="X18" s="42"/>
      <c r="Y18" s="42"/>
      <c r="Z18" s="42"/>
      <c r="AA18" s="42"/>
      <c r="AB18" s="42"/>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row>
    <row r="19" spans="1:55" x14ac:dyDescent="0.25">
      <c r="A19" s="49"/>
      <c r="B19" s="52">
        <f>IF(O6=0,0,1/O6)</f>
        <v>0</v>
      </c>
      <c r="C19" s="52">
        <f>IF(O7=0,0,1/O7)</f>
        <v>0</v>
      </c>
      <c r="D19" s="52">
        <f>IF(O8=0,0,1/O8)</f>
        <v>0</v>
      </c>
      <c r="E19" s="52">
        <f>IF(O9=0,0,1/O9)</f>
        <v>0</v>
      </c>
      <c r="F19" s="52">
        <f>IF(O10=0,0,1/O10)</f>
        <v>0</v>
      </c>
      <c r="G19" s="52">
        <f>IF(O11=0,0,1/O11)</f>
        <v>0</v>
      </c>
      <c r="H19" s="52">
        <f>IF(O12=0,0,1/O12)</f>
        <v>0</v>
      </c>
      <c r="I19" s="52">
        <f>IF(O13=0,0,1/O13)</f>
        <v>0</v>
      </c>
      <c r="J19" s="52">
        <f>IF(O14=0,0,1/O14)</f>
        <v>0</v>
      </c>
      <c r="K19" s="52">
        <f>IF(O15=0,0,1/O15)</f>
        <v>0</v>
      </c>
      <c r="L19" s="52">
        <f>IF(O16=0,0,1/O16)</f>
        <v>0</v>
      </c>
      <c r="M19" s="52">
        <f>IF(O17=0,0,1/O17)</f>
        <v>0</v>
      </c>
      <c r="N19" s="52">
        <f>IF(O18=0,0,1/O18)</f>
        <v>0</v>
      </c>
      <c r="O19" s="53">
        <v>1</v>
      </c>
      <c r="P19" s="42"/>
      <c r="Q19" s="42"/>
      <c r="R19" s="42"/>
      <c r="S19" s="42"/>
      <c r="T19" s="42"/>
      <c r="U19" s="42"/>
      <c r="V19" s="42"/>
      <c r="W19" s="42"/>
      <c r="X19" s="42"/>
      <c r="Y19" s="42"/>
      <c r="Z19" s="42"/>
      <c r="AA19" s="42"/>
      <c r="AB19" s="42"/>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row>
    <row r="20" spans="1:55" x14ac:dyDescent="0.25">
      <c r="A20" s="49"/>
      <c r="B20" s="52">
        <f>IF(P6=0,0,1/P6)</f>
        <v>0</v>
      </c>
      <c r="C20" s="52">
        <f>IF(P7=0,0,1/P7)</f>
        <v>0</v>
      </c>
      <c r="D20" s="52">
        <f>IF(P8=0,0,1/P8)</f>
        <v>0</v>
      </c>
      <c r="E20" s="52">
        <f>IF(P9=0,0,1/P9)</f>
        <v>0</v>
      </c>
      <c r="F20" s="52">
        <f>IF(P10=0,0,1/P10)</f>
        <v>0</v>
      </c>
      <c r="G20" s="52">
        <f>IF(P11=0,0,1/P11)</f>
        <v>0</v>
      </c>
      <c r="H20" s="52">
        <f>IF(P12=0,0,1/P12)</f>
        <v>0</v>
      </c>
      <c r="I20" s="52">
        <f>IF(P13=0,0,1/P13)</f>
        <v>0</v>
      </c>
      <c r="J20" s="52">
        <f>IF(P14=0,0,1/P14)</f>
        <v>0</v>
      </c>
      <c r="K20" s="52">
        <f>IF(P15=0,0,1/P15)</f>
        <v>0</v>
      </c>
      <c r="L20" s="52">
        <f>IF(P16=0,0,1/P16)</f>
        <v>0</v>
      </c>
      <c r="M20" s="52">
        <f>IF(P17=0,0,1/P17)</f>
        <v>0</v>
      </c>
      <c r="N20" s="52">
        <f>IF(P18=0,0,1/P18)</f>
        <v>0</v>
      </c>
      <c r="O20" s="52">
        <f>IF(P19=0,0,1/P19)</f>
        <v>0</v>
      </c>
      <c r="P20" s="53">
        <v>1</v>
      </c>
      <c r="Q20" s="42"/>
      <c r="R20" s="42"/>
      <c r="S20" s="42"/>
      <c r="T20" s="42"/>
      <c r="U20" s="42"/>
      <c r="V20" s="42"/>
      <c r="W20" s="42"/>
      <c r="X20" s="42"/>
      <c r="Y20" s="42"/>
      <c r="Z20" s="42"/>
      <c r="AA20" s="42"/>
      <c r="AB20" s="42"/>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row>
    <row r="21" spans="1:55" x14ac:dyDescent="0.25">
      <c r="A21" s="49"/>
      <c r="B21" s="52">
        <f>IF(Q6=0,0,1/Q6)</f>
        <v>0</v>
      </c>
      <c r="C21" s="52">
        <f>IF(Q7=0,0,1/Q7)</f>
        <v>0</v>
      </c>
      <c r="D21" s="52">
        <f>IF(Q8=0,0,1/Q8)</f>
        <v>0</v>
      </c>
      <c r="E21" s="52">
        <f>IF(Q9=0,0,1/Q9)</f>
        <v>0</v>
      </c>
      <c r="F21" s="52">
        <f>IF(Q10=0,0,1/Q10)</f>
        <v>0</v>
      </c>
      <c r="G21" s="52">
        <f>IF(Q11=0,0,1/Q11)</f>
        <v>0</v>
      </c>
      <c r="H21" s="52">
        <f>IF(Q12=0,0,1/Q12)</f>
        <v>0</v>
      </c>
      <c r="I21" s="52">
        <f>IF(Q13=0,0,1/Q13)</f>
        <v>0</v>
      </c>
      <c r="J21" s="52">
        <f>IF(Q14=0,0,1/Q14)</f>
        <v>0</v>
      </c>
      <c r="K21" s="52">
        <f>IF(Q15=0,0,1/Q15)</f>
        <v>0</v>
      </c>
      <c r="L21" s="52">
        <f>IF(Q16=0,0,1/Q16)</f>
        <v>0</v>
      </c>
      <c r="M21" s="52">
        <f>IF(Q17=0,0,1/Q17)</f>
        <v>0</v>
      </c>
      <c r="N21" s="52">
        <f>IF(Q18=0,0,1/Q18)</f>
        <v>0</v>
      </c>
      <c r="O21" s="52">
        <f>IF(Q19=0,0,1/Q19)</f>
        <v>0</v>
      </c>
      <c r="P21" s="52">
        <f>IF(Q20=0,0,1/Q20)</f>
        <v>0</v>
      </c>
      <c r="Q21" s="53">
        <v>1</v>
      </c>
      <c r="R21" s="42"/>
      <c r="S21" s="42"/>
      <c r="T21" s="42"/>
      <c r="U21" s="42"/>
      <c r="V21" s="42"/>
      <c r="W21" s="42"/>
      <c r="X21" s="42"/>
      <c r="Y21" s="42"/>
      <c r="Z21" s="42"/>
      <c r="AA21" s="42"/>
      <c r="AB21" s="42"/>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row>
    <row r="22" spans="1:55" x14ac:dyDescent="0.25">
      <c r="A22" s="49"/>
      <c r="B22" s="52">
        <f>IF(R6=0,0,1/R6)</f>
        <v>0</v>
      </c>
      <c r="C22" s="52">
        <f>IF(R7=0,0,1/R7)</f>
        <v>0</v>
      </c>
      <c r="D22" s="52">
        <f>IF(R8=0,0,1/R8)</f>
        <v>0</v>
      </c>
      <c r="E22" s="52">
        <f>IF(R9=0,0,1/R9)</f>
        <v>0</v>
      </c>
      <c r="F22" s="52">
        <f>IF(R10=0,0,1/R10)</f>
        <v>0</v>
      </c>
      <c r="G22" s="52">
        <f>IF(R11=0,0,1/R11)</f>
        <v>0</v>
      </c>
      <c r="H22" s="52">
        <f>IF(R12=0,0,1/R12)</f>
        <v>0</v>
      </c>
      <c r="I22" s="52">
        <f>IF(R13=0,0,1/R13)</f>
        <v>0</v>
      </c>
      <c r="J22" s="52">
        <f>IF(R14=0,0,1/R14)</f>
        <v>0</v>
      </c>
      <c r="K22" s="52">
        <f>IF(R15=0,0,1/R15)</f>
        <v>0</v>
      </c>
      <c r="L22" s="52">
        <f>IF(R16=0,0,1/R16)</f>
        <v>0</v>
      </c>
      <c r="M22" s="52">
        <f>IF(R17=0,0,1/R17)</f>
        <v>0</v>
      </c>
      <c r="N22" s="52">
        <f>IF(R18=0,0,1/R18)</f>
        <v>0</v>
      </c>
      <c r="O22" s="52">
        <f>IF(R19=0,0,1/R19)</f>
        <v>0</v>
      </c>
      <c r="P22" s="52">
        <f>IF(R20=0,0,1/R20)</f>
        <v>0</v>
      </c>
      <c r="Q22" s="52">
        <f>IF(R21=0,0,1/R21)</f>
        <v>0</v>
      </c>
      <c r="R22" s="53">
        <v>1</v>
      </c>
      <c r="S22" s="42"/>
      <c r="T22" s="42"/>
      <c r="U22" s="42"/>
      <c r="V22" s="42"/>
      <c r="W22" s="42"/>
      <c r="X22" s="42"/>
      <c r="Y22" s="42"/>
      <c r="Z22" s="42"/>
      <c r="AA22" s="42"/>
      <c r="AB22" s="42"/>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row>
    <row r="23" spans="1:55" x14ac:dyDescent="0.25">
      <c r="A23" s="49"/>
      <c r="B23" s="52">
        <f>IF(S6=0,0,1/S6)</f>
        <v>0</v>
      </c>
      <c r="C23" s="52">
        <f>IF(S7=0,0,1/S7)</f>
        <v>0</v>
      </c>
      <c r="D23" s="52">
        <f>IF(S8=0,0,1/S8)</f>
        <v>0</v>
      </c>
      <c r="E23" s="52">
        <f>IF(S9=0,0,1/S9)</f>
        <v>0</v>
      </c>
      <c r="F23" s="52">
        <f>IF(S10=0,0,1/S10)</f>
        <v>0</v>
      </c>
      <c r="G23" s="52">
        <f>IF(S11=0,0,1/S11)</f>
        <v>0</v>
      </c>
      <c r="H23" s="52">
        <f>IF(S12=0,0,1/S12)</f>
        <v>0</v>
      </c>
      <c r="I23" s="52">
        <f>IF(S13=0,0,1/S13)</f>
        <v>0</v>
      </c>
      <c r="J23" s="52">
        <f>IF(S14=0,0,1/S14)</f>
        <v>0</v>
      </c>
      <c r="K23" s="52">
        <f>IF(S15=0,0,1/S15)</f>
        <v>0</v>
      </c>
      <c r="L23" s="52">
        <f>IF(S16=0,0,1/S16)</f>
        <v>0</v>
      </c>
      <c r="M23" s="52">
        <f>IF(S17=0,0,1/S17)</f>
        <v>0</v>
      </c>
      <c r="N23" s="52">
        <f>IF(S18=0,0,1/S18)</f>
        <v>0</v>
      </c>
      <c r="O23" s="52">
        <f>IF(S19=0,0,1/S19)</f>
        <v>0</v>
      </c>
      <c r="P23" s="52">
        <f>IF(S20=0,0,1/S20)</f>
        <v>0</v>
      </c>
      <c r="Q23" s="52">
        <f>IF(S21=0,0,1/S21)</f>
        <v>0</v>
      </c>
      <c r="R23" s="52">
        <f>IF(S22=0,0,1/S22)</f>
        <v>0</v>
      </c>
      <c r="S23" s="53">
        <v>1</v>
      </c>
      <c r="T23" s="42"/>
      <c r="U23" s="42"/>
      <c r="V23" s="42"/>
      <c r="W23" s="42"/>
      <c r="X23" s="42"/>
      <c r="Y23" s="42"/>
      <c r="Z23" s="42"/>
      <c r="AA23" s="42"/>
      <c r="AB23" s="42"/>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row>
    <row r="24" spans="1:55" x14ac:dyDescent="0.25">
      <c r="A24" s="49"/>
      <c r="B24" s="52">
        <f>IF(T6=0,0,1/T6)</f>
        <v>0</v>
      </c>
      <c r="C24" s="52">
        <f>IF(T7=0,0,1/T7)</f>
        <v>0</v>
      </c>
      <c r="D24" s="52">
        <f>IF(T8=0,0,1/T8)</f>
        <v>0</v>
      </c>
      <c r="E24" s="52">
        <f>IF(T9=0,0,1/T9)</f>
        <v>0</v>
      </c>
      <c r="F24" s="52">
        <f>IF(T10=0,0,1/T10)</f>
        <v>0</v>
      </c>
      <c r="G24" s="52">
        <f>IF(T11=0,0,1/T11)</f>
        <v>0</v>
      </c>
      <c r="H24" s="52">
        <f>IF(T12=0,0,1/T12)</f>
        <v>0</v>
      </c>
      <c r="I24" s="52">
        <f>IF(T13=0,0,1/T13)</f>
        <v>0</v>
      </c>
      <c r="J24" s="52">
        <f>IF(T14=0,0,1/T14)</f>
        <v>0</v>
      </c>
      <c r="K24" s="52">
        <f>IF(T15=0,0,1/T15)</f>
        <v>0</v>
      </c>
      <c r="L24" s="52">
        <f>IF(T16=0,0,1/T16)</f>
        <v>0</v>
      </c>
      <c r="M24" s="52">
        <f>IF(T17=0,0,1/T17)</f>
        <v>0</v>
      </c>
      <c r="N24" s="52">
        <f>IF(T18=0,0,1/T18)</f>
        <v>0</v>
      </c>
      <c r="O24" s="52">
        <f>IF(T19=0,0,1/T19)</f>
        <v>0</v>
      </c>
      <c r="P24" s="52">
        <f>IF(T20=0,0,1/T20)</f>
        <v>0</v>
      </c>
      <c r="Q24" s="52">
        <f>IF(T21=0,0,1/T21)</f>
        <v>0</v>
      </c>
      <c r="R24" s="52">
        <f>IF(T22=0,0,1/T22)</f>
        <v>0</v>
      </c>
      <c r="S24" s="52">
        <f>IF(T23=0,0,1/T23)</f>
        <v>0</v>
      </c>
      <c r="T24" s="53">
        <v>1</v>
      </c>
      <c r="U24" s="42"/>
      <c r="V24" s="42"/>
      <c r="W24" s="42"/>
      <c r="X24" s="42"/>
      <c r="Y24" s="42"/>
      <c r="Z24" s="42"/>
      <c r="AA24" s="42"/>
      <c r="AB24" s="42"/>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row>
    <row r="25" spans="1:55" x14ac:dyDescent="0.25">
      <c r="A25" s="49"/>
      <c r="B25" s="52">
        <f>IF(U6=0,0,1/U6)</f>
        <v>0</v>
      </c>
      <c r="C25" s="52">
        <f>IF(U7=0,0,1/U7)</f>
        <v>0</v>
      </c>
      <c r="D25" s="52">
        <f>IF(U8=0,0,1/U8)</f>
        <v>0</v>
      </c>
      <c r="E25" s="52">
        <f>IF(U9=0,0,1/U9)</f>
        <v>0</v>
      </c>
      <c r="F25" s="52">
        <f>IF(U10=0,0,1/U10)</f>
        <v>0</v>
      </c>
      <c r="G25" s="52">
        <f>IF(U11=0,0,1/U11)</f>
        <v>0</v>
      </c>
      <c r="H25" s="52">
        <f>IF(U12=0,0,1/U12)</f>
        <v>0</v>
      </c>
      <c r="I25" s="52">
        <f>IF(U13=0,0,1/U13)</f>
        <v>0</v>
      </c>
      <c r="J25" s="52">
        <f>IF(U14=0,0,1/U14)</f>
        <v>0</v>
      </c>
      <c r="K25" s="52">
        <f>IF(U15=0,0,1/U15)</f>
        <v>0</v>
      </c>
      <c r="L25" s="52">
        <f>IF(U16=0,0,1/U16)</f>
        <v>0</v>
      </c>
      <c r="M25" s="52">
        <f>IF(U17=0,0,1/U17)</f>
        <v>0</v>
      </c>
      <c r="N25" s="52">
        <f>IF(U18=0,0,1/U18)</f>
        <v>0</v>
      </c>
      <c r="O25" s="52">
        <f>IF(U19=0,0,1/U19)</f>
        <v>0</v>
      </c>
      <c r="P25" s="52">
        <f>IF(U20=0,0,1/U20)</f>
        <v>0</v>
      </c>
      <c r="Q25" s="52">
        <f>IF(U21=0,0,1/U21)</f>
        <v>0</v>
      </c>
      <c r="R25" s="52">
        <f>IF(U22=0,0,1/U22)</f>
        <v>0</v>
      </c>
      <c r="S25" s="52">
        <f>IF(U23=0,0,1/U23)</f>
        <v>0</v>
      </c>
      <c r="T25" s="52">
        <f>IF(U24=0,0,1/U24)</f>
        <v>0</v>
      </c>
      <c r="U25" s="53">
        <v>1</v>
      </c>
      <c r="V25" s="42"/>
      <c r="W25" s="42"/>
      <c r="X25" s="42"/>
      <c r="Y25" s="42"/>
      <c r="Z25" s="42"/>
      <c r="AA25" s="42"/>
      <c r="AB25" s="42"/>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row>
    <row r="26" spans="1:55" x14ac:dyDescent="0.25">
      <c r="A26" s="49"/>
      <c r="B26" s="52">
        <f>IF(V6=0,0,1/V6)</f>
        <v>0</v>
      </c>
      <c r="C26" s="52">
        <f>IF(V7=0,0,1/V7)</f>
        <v>0</v>
      </c>
      <c r="D26" s="52">
        <f>IF(V8=0,0,1/V8)</f>
        <v>0</v>
      </c>
      <c r="E26" s="52">
        <f>IF(V9=0,0,1/V9)</f>
        <v>0</v>
      </c>
      <c r="F26" s="52">
        <f>IF(V10=0,0,1/V10)</f>
        <v>0</v>
      </c>
      <c r="G26" s="52">
        <f>IF(V11=0,0,1/V11)</f>
        <v>0</v>
      </c>
      <c r="H26" s="52">
        <f>IF(V12=0,0,1/V12)</f>
        <v>0</v>
      </c>
      <c r="I26" s="52">
        <f>IF(V13=0,0,1/V13)</f>
        <v>0</v>
      </c>
      <c r="J26" s="52">
        <f>IF(V14=0,0,1/V14)</f>
        <v>0</v>
      </c>
      <c r="K26" s="52">
        <f>IF(V15=0,0,1/V15)</f>
        <v>0</v>
      </c>
      <c r="L26" s="52">
        <f>IF(V16=0,0,1/V16)</f>
        <v>0</v>
      </c>
      <c r="M26" s="52">
        <f>IF(V17=0,0,1/V17)</f>
        <v>0</v>
      </c>
      <c r="N26" s="52">
        <f>IF(V18=0,0,1/V18)</f>
        <v>0</v>
      </c>
      <c r="O26" s="52">
        <f>IF(V19=0,0,1/V19)</f>
        <v>0</v>
      </c>
      <c r="P26" s="52">
        <f>IF(V20=0,0,1/V20)</f>
        <v>0</v>
      </c>
      <c r="Q26" s="52">
        <f>IF(V21=0,0,1/V21)</f>
        <v>0</v>
      </c>
      <c r="R26" s="52">
        <f>IF(V22=0,0,1/V22)</f>
        <v>0</v>
      </c>
      <c r="S26" s="52">
        <f>IF(V23=0,0,1/V23)</f>
        <v>0</v>
      </c>
      <c r="T26" s="52">
        <f>IF(V24=0,0,1/V24)</f>
        <v>0</v>
      </c>
      <c r="U26" s="52">
        <f>IF(V25=0,0,1/V25)</f>
        <v>0</v>
      </c>
      <c r="V26" s="53">
        <v>1</v>
      </c>
      <c r="W26" s="42"/>
      <c r="X26" s="42"/>
      <c r="Y26" s="42"/>
      <c r="Z26" s="42"/>
      <c r="AA26" s="42"/>
      <c r="AB26" s="42"/>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row>
    <row r="27" spans="1:55" x14ac:dyDescent="0.25">
      <c r="A27" s="49"/>
      <c r="B27" s="52">
        <f>IF(W6=0,0,1/W6)</f>
        <v>0</v>
      </c>
      <c r="C27" s="52">
        <f>IF(W7=0,0,1/W7)</f>
        <v>0</v>
      </c>
      <c r="D27" s="52">
        <f>IF(W8=0,0,1/W8)</f>
        <v>0</v>
      </c>
      <c r="E27" s="52">
        <f>IF(W9=0,0,1/W9)</f>
        <v>0</v>
      </c>
      <c r="F27" s="52">
        <f>IF(W10=0,0,1/W10)</f>
        <v>0</v>
      </c>
      <c r="G27" s="52">
        <f>IF(W11=0,0,1/W11)</f>
        <v>0</v>
      </c>
      <c r="H27" s="52">
        <f>IF(W12=0,0,1/W12)</f>
        <v>0</v>
      </c>
      <c r="I27" s="52">
        <f>IF(W13=0,0,1/W13)</f>
        <v>0</v>
      </c>
      <c r="J27" s="52">
        <f>IF(W14=0,0,1/W14)</f>
        <v>0</v>
      </c>
      <c r="K27" s="52">
        <f>IF(W15=0,0,1/W15)</f>
        <v>0</v>
      </c>
      <c r="L27" s="52">
        <f>IF(W16=0,0,1/W16)</f>
        <v>0</v>
      </c>
      <c r="M27" s="52">
        <f>IF(W17=0,0,1/W17)</f>
        <v>0</v>
      </c>
      <c r="N27" s="52">
        <f>IF(W18=0,0,1/W18)</f>
        <v>0</v>
      </c>
      <c r="O27" s="52">
        <f>IF(W19=0,0,1/W19)</f>
        <v>0</v>
      </c>
      <c r="P27" s="52">
        <f>IF(W20=0,0,1/W20)</f>
        <v>0</v>
      </c>
      <c r="Q27" s="52">
        <f>IF(W21=0,0,1/W21)</f>
        <v>0</v>
      </c>
      <c r="R27" s="52">
        <f>IF(W22=0,0,1/W22)</f>
        <v>0</v>
      </c>
      <c r="S27" s="52">
        <f>IF(W23=0,0,1/W23)</f>
        <v>0</v>
      </c>
      <c r="T27" s="52">
        <f>IF(W24=0,0,1/W24)</f>
        <v>0</v>
      </c>
      <c r="U27" s="52">
        <f>IF(W25=0,0,1/W25)</f>
        <v>0</v>
      </c>
      <c r="V27" s="52">
        <f>IF(W26=0,0,1/W26)</f>
        <v>0</v>
      </c>
      <c r="W27" s="53">
        <v>1</v>
      </c>
      <c r="X27" s="42"/>
      <c r="Y27" s="42"/>
      <c r="Z27" s="42"/>
      <c r="AA27" s="42"/>
      <c r="AB27" s="42"/>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row>
    <row r="28" spans="1:55" x14ac:dyDescent="0.25">
      <c r="A28" s="49"/>
      <c r="B28" s="52">
        <f>IF(X6=0,0,1/X6)</f>
        <v>0</v>
      </c>
      <c r="C28" s="52">
        <f>IF(X7=0,0,1/X7)</f>
        <v>0</v>
      </c>
      <c r="D28" s="52">
        <f>IF(X8=0,0,1/X8)</f>
        <v>0</v>
      </c>
      <c r="E28" s="52">
        <f>IF(X9=0,0,1/X9)</f>
        <v>0</v>
      </c>
      <c r="F28" s="52">
        <f>IF(X10=0,0,1/X10)</f>
        <v>0</v>
      </c>
      <c r="G28" s="52">
        <f>IF(X11=0,0,1/X11)</f>
        <v>0</v>
      </c>
      <c r="H28" s="52">
        <f>IF(X12=0,0,1/X12)</f>
        <v>0</v>
      </c>
      <c r="I28" s="52">
        <f>IF(X13=0,0,1/X13)</f>
        <v>0</v>
      </c>
      <c r="J28" s="52">
        <f>IF(X14=0,0,1/X14)</f>
        <v>0</v>
      </c>
      <c r="K28" s="52">
        <f>IF(X15=0,0,1/X15)</f>
        <v>0</v>
      </c>
      <c r="L28" s="52">
        <f>IF(X16=0,0,1/X16)</f>
        <v>0</v>
      </c>
      <c r="M28" s="52">
        <f>IF(X17=0,0,1/X17)</f>
        <v>0</v>
      </c>
      <c r="N28" s="52">
        <f>IF(X18=0,0,1/X18)</f>
        <v>0</v>
      </c>
      <c r="O28" s="52">
        <f>IF(X19=0,0,1/X19)</f>
        <v>0</v>
      </c>
      <c r="P28" s="52">
        <f>IF(X20=0,0,1/X20)</f>
        <v>0</v>
      </c>
      <c r="Q28" s="52">
        <f>IF(X21=0,0,1/X21)</f>
        <v>0</v>
      </c>
      <c r="R28" s="52">
        <f>IF(X22=0,0,1/X22)</f>
        <v>0</v>
      </c>
      <c r="S28" s="52">
        <f>IF(X23=0,0,1/X23)</f>
        <v>0</v>
      </c>
      <c r="T28" s="52">
        <f>IF(X24=0,0,1/X24)</f>
        <v>0</v>
      </c>
      <c r="U28" s="52">
        <f>IF(X25=0,0,1/X25)</f>
        <v>0</v>
      </c>
      <c r="V28" s="52">
        <f>IF(X26=0,0,1/X26)</f>
        <v>0</v>
      </c>
      <c r="W28" s="52">
        <f>IF(X27=0,0,1/X27)</f>
        <v>0</v>
      </c>
      <c r="X28" s="53">
        <v>1</v>
      </c>
      <c r="Y28" s="42"/>
      <c r="Z28" s="42"/>
      <c r="AA28" s="42"/>
      <c r="AB28" s="42"/>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row>
    <row r="29" spans="1:55" x14ac:dyDescent="0.25">
      <c r="A29" s="49"/>
      <c r="B29" s="52">
        <f>IF(Y6=0,0,1/Y6)</f>
        <v>0</v>
      </c>
      <c r="C29" s="52">
        <f>IF(Y7=0,0,1/Y7)</f>
        <v>0</v>
      </c>
      <c r="D29" s="52">
        <f>IF(Y8=0,0,1/Y8)</f>
        <v>0</v>
      </c>
      <c r="E29" s="52">
        <f>IF(Y9=0,0,1/Y9)</f>
        <v>0</v>
      </c>
      <c r="F29" s="52">
        <f>IF(Y10=0,0,1/Y10)</f>
        <v>0</v>
      </c>
      <c r="G29" s="52">
        <f>IF(Y11=0,0,1/Y11)</f>
        <v>0</v>
      </c>
      <c r="H29" s="52">
        <f>IF(Y12=0,0,1/Y12)</f>
        <v>0</v>
      </c>
      <c r="I29" s="52">
        <f>IF(Y13=0,0,1/Y13)</f>
        <v>0</v>
      </c>
      <c r="J29" s="52">
        <f>IF(Y14=0,0,1/Y14)</f>
        <v>0</v>
      </c>
      <c r="K29" s="52">
        <f>IF(Y15=0,0,1/Y15)</f>
        <v>0</v>
      </c>
      <c r="L29" s="52">
        <f>IF(Y16=0,0,1/Y16)</f>
        <v>0</v>
      </c>
      <c r="M29" s="52">
        <f>IF(Y17=0,0,1/Y17)</f>
        <v>0</v>
      </c>
      <c r="N29" s="52">
        <f>IF(Y18=0,0,1/Y18)</f>
        <v>0</v>
      </c>
      <c r="O29" s="52">
        <f>IF(Y19=0,0,1/Y19)</f>
        <v>0</v>
      </c>
      <c r="P29" s="52">
        <f>IF(Y20=0,0,1/Y20)</f>
        <v>0</v>
      </c>
      <c r="Q29" s="52">
        <f>IF(Y21=0,0,1/Y21)</f>
        <v>0</v>
      </c>
      <c r="R29" s="52">
        <f>IF(Y22=0,0,1/Y22)</f>
        <v>0</v>
      </c>
      <c r="S29" s="52">
        <f>IF(Y23=0,0,1/Y23)</f>
        <v>0</v>
      </c>
      <c r="T29" s="52">
        <f>IF(Y24=0,0,1/Y24)</f>
        <v>0</v>
      </c>
      <c r="U29" s="52">
        <f>IF(Y25=0,0,1/Y25)</f>
        <v>0</v>
      </c>
      <c r="V29" s="52">
        <f>IF(Y26=0,0,1/Y26)</f>
        <v>0</v>
      </c>
      <c r="W29" s="52">
        <f>IF(Y27=0,0,1/Y27)</f>
        <v>0</v>
      </c>
      <c r="X29" s="52">
        <f>IF(Y28=0,0,1/Y28)</f>
        <v>0</v>
      </c>
      <c r="Y29" s="53">
        <v>1</v>
      </c>
      <c r="Z29" s="42"/>
      <c r="AA29" s="42"/>
      <c r="AB29" s="42"/>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row>
    <row r="30" spans="1:55" x14ac:dyDescent="0.25">
      <c r="A30" s="49"/>
      <c r="B30" s="52">
        <f>IF(Z6=0,0,1/Z6)</f>
        <v>0</v>
      </c>
      <c r="C30" s="52">
        <f>IF(Z7=0,0,1/Z7)</f>
        <v>0</v>
      </c>
      <c r="D30" s="52">
        <f>IF(Z8=0,0,1/Z8)</f>
        <v>0</v>
      </c>
      <c r="E30" s="52">
        <f>IF(Z9=0,0,1/Z9)</f>
        <v>0</v>
      </c>
      <c r="F30" s="52">
        <f>IF(Z10=0,0,1/Z10)</f>
        <v>0</v>
      </c>
      <c r="G30" s="52">
        <f>IF(Z11=0,0,1/Z11)</f>
        <v>0</v>
      </c>
      <c r="H30" s="52">
        <f>IF(Z12=0,0,1/Z12)</f>
        <v>0</v>
      </c>
      <c r="I30" s="52">
        <f>IF(Z13=0,0,1/Z13)</f>
        <v>0</v>
      </c>
      <c r="J30" s="52">
        <f>IF(Z14=0,0,1/Z14)</f>
        <v>0</v>
      </c>
      <c r="K30" s="52">
        <f>IF(Z15=0,0,1/Z15)</f>
        <v>0</v>
      </c>
      <c r="L30" s="52">
        <f>IF(Z16=0,0,1/Z16)</f>
        <v>0</v>
      </c>
      <c r="M30" s="52">
        <f>IF(Z17=0,0,1/Z17)</f>
        <v>0</v>
      </c>
      <c r="N30" s="52">
        <f>IF(Z18=0,0,1/Z18)</f>
        <v>0</v>
      </c>
      <c r="O30" s="52">
        <f>IF(Z19=0,0,1/Z19)</f>
        <v>0</v>
      </c>
      <c r="P30" s="52">
        <f>IF(Z20=0,0,1/Z20)</f>
        <v>0</v>
      </c>
      <c r="Q30" s="52">
        <f>IF(Z21=0,0,1/Z21)</f>
        <v>0</v>
      </c>
      <c r="R30" s="52">
        <f>IF(Z22=0,0,1/Z22)</f>
        <v>0</v>
      </c>
      <c r="S30" s="52">
        <f>IF(Z23=0,0,1/Z23)</f>
        <v>0</v>
      </c>
      <c r="T30" s="52">
        <f>IF(Z24=0,0,1/Z24)</f>
        <v>0</v>
      </c>
      <c r="U30" s="52">
        <f>IF(Z25=0,0,1/Z25)</f>
        <v>0</v>
      </c>
      <c r="V30" s="52">
        <f>IF(Z26=0,0,1/Z26)</f>
        <v>0</v>
      </c>
      <c r="W30" s="52">
        <f>IF(Z27=0,0,1/Z27)</f>
        <v>0</v>
      </c>
      <c r="X30" s="52">
        <f>IF(Z28=0,0,1/Z28)</f>
        <v>0</v>
      </c>
      <c r="Y30" s="52">
        <f>IF(Z29=0,0,1/Z29)</f>
        <v>0</v>
      </c>
      <c r="Z30" s="53">
        <v>1</v>
      </c>
      <c r="AA30" s="42"/>
      <c r="AB30" s="42"/>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row>
    <row r="31" spans="1:55" x14ac:dyDescent="0.25">
      <c r="A31" s="49"/>
      <c r="B31" s="52">
        <f>IF(AA6=0,0,1/AA6)</f>
        <v>0</v>
      </c>
      <c r="C31" s="52">
        <f>IF(AA7=0,0,1/AA7)</f>
        <v>0</v>
      </c>
      <c r="D31" s="52">
        <f>IF(AA8=0,0,1/AA8)</f>
        <v>0</v>
      </c>
      <c r="E31" s="52">
        <f>IF(AA9=0,0,1/AA9)</f>
        <v>0</v>
      </c>
      <c r="F31" s="52">
        <f>IF(AA10=0,0,1/AA10)</f>
        <v>0</v>
      </c>
      <c r="G31" s="52">
        <f>IF(AA11=0,0,1/AA11)</f>
        <v>0</v>
      </c>
      <c r="H31" s="52">
        <f>IF(AA12=0,0,1/AA12)</f>
        <v>0</v>
      </c>
      <c r="I31" s="52">
        <f>IF(AA13=0,0,1/AA13)</f>
        <v>0</v>
      </c>
      <c r="J31" s="52">
        <f>IF(AA14=0,0,1/AA14)</f>
        <v>0</v>
      </c>
      <c r="K31" s="52">
        <f>IF(AA15=0,0,1/AA15)</f>
        <v>0</v>
      </c>
      <c r="L31" s="52">
        <f>IF(AA16=0,0,1/AA16)</f>
        <v>0</v>
      </c>
      <c r="M31" s="52">
        <f>IF(AA17=0,0,1/AA17)</f>
        <v>0</v>
      </c>
      <c r="N31" s="52">
        <f>IF(AA18=0,0,1/AA18)</f>
        <v>0</v>
      </c>
      <c r="O31" s="52">
        <f>IF(AA19=0,0,1/AA19)</f>
        <v>0</v>
      </c>
      <c r="P31" s="52">
        <f>IF(AA20=0,0,1/AA20)</f>
        <v>0</v>
      </c>
      <c r="Q31" s="52">
        <f>IF(AA21=0,0,1/AA21)</f>
        <v>0</v>
      </c>
      <c r="R31" s="52">
        <f>IF(AA22=0,0,1/AA22)</f>
        <v>0</v>
      </c>
      <c r="S31" s="52">
        <f>IF(AA23=0,0,1/AA23)</f>
        <v>0</v>
      </c>
      <c r="T31" s="52">
        <f>IF(AA24=0,0,1/AA24)</f>
        <v>0</v>
      </c>
      <c r="U31" s="52">
        <f>IF(AA25=0,0,1/AA25)</f>
        <v>0</v>
      </c>
      <c r="V31" s="52">
        <f>IF(AA26=0,0,1/AA26)</f>
        <v>0</v>
      </c>
      <c r="W31" s="52">
        <f>IF(AA27=0,0,1/AA27)</f>
        <v>0</v>
      </c>
      <c r="X31" s="52">
        <f>IF(AA28=0,0,1/AA28)</f>
        <v>0</v>
      </c>
      <c r="Y31" s="52">
        <f>IF(AA29=0,0,1/AA29)</f>
        <v>0</v>
      </c>
      <c r="Z31" s="52">
        <f>IF(AA30=0,0,1/AA30)</f>
        <v>0</v>
      </c>
      <c r="AA31" s="53">
        <v>1</v>
      </c>
      <c r="AB31" s="42"/>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row>
    <row r="32" spans="1:55" x14ac:dyDescent="0.25">
      <c r="A32" s="49"/>
      <c r="B32" s="52">
        <f>IF(AB6=0,0,1/AB6)</f>
        <v>0</v>
      </c>
      <c r="C32" s="52">
        <f>IF(AB7=0,0,1/AB7)</f>
        <v>0</v>
      </c>
      <c r="D32" s="52">
        <f>IF(AB8=0,0,1/AB8)</f>
        <v>0</v>
      </c>
      <c r="E32" s="52">
        <f>IF(AB9=0,0,1/AB9)</f>
        <v>0</v>
      </c>
      <c r="F32" s="52">
        <f>IF(AB10=0,0,1/AB10)</f>
        <v>0</v>
      </c>
      <c r="G32" s="52">
        <f>IF(AB11=0,0,1/AB11)</f>
        <v>0</v>
      </c>
      <c r="H32" s="52">
        <f>IF(AB12=0,0,1/AB12)</f>
        <v>0</v>
      </c>
      <c r="I32" s="52">
        <f>IF(AB13=0,0,1/AB13)</f>
        <v>0</v>
      </c>
      <c r="J32" s="52">
        <f>IF(AB14=0,0,1/AB14)</f>
        <v>0</v>
      </c>
      <c r="K32" s="52">
        <f>IF(AB15=0,0,1/AB15)</f>
        <v>0</v>
      </c>
      <c r="L32" s="52">
        <f>IF(AB16=0,0,1/AB16)</f>
        <v>0</v>
      </c>
      <c r="M32" s="52">
        <f>IF(AB17=0,0,1/AB17)</f>
        <v>0</v>
      </c>
      <c r="N32" s="52">
        <f>IF(AB18=0,0,1/AB18)</f>
        <v>0</v>
      </c>
      <c r="O32" s="52">
        <f>IF(AB19=0,0,1/AB19)</f>
        <v>0</v>
      </c>
      <c r="P32" s="52">
        <f>IF(AB20=0,0,1/AB20)</f>
        <v>0</v>
      </c>
      <c r="Q32" s="52">
        <f>IF(AB21=0,0,1/AB21)</f>
        <v>0</v>
      </c>
      <c r="R32" s="52">
        <f>IF(AB22=0,0,1/AB22)</f>
        <v>0</v>
      </c>
      <c r="S32" s="52">
        <f>IF(AB23=0,0,1/AB23)</f>
        <v>0</v>
      </c>
      <c r="T32" s="52">
        <f>IF(AB24=0,0,1/AB24)</f>
        <v>0</v>
      </c>
      <c r="U32" s="52">
        <f>IF(AB25=0,0,1/AB25)</f>
        <v>0</v>
      </c>
      <c r="V32" s="52">
        <f>IF(AB26=0,0,1/AB26)</f>
        <v>0</v>
      </c>
      <c r="W32" s="52">
        <f>IF(AB27=0,0,1/AB27)</f>
        <v>0</v>
      </c>
      <c r="X32" s="52">
        <f>IF(AB28=0,0,1/AB28)</f>
        <v>0</v>
      </c>
      <c r="Y32" s="52">
        <f>IF(AB29=0,0,1/AB29)</f>
        <v>0</v>
      </c>
      <c r="Z32" s="52">
        <f>IF(AB30=0,0,1/AB30)</f>
        <v>0</v>
      </c>
      <c r="AA32" s="52">
        <f>IF(AB31=0,0,1/AB31)</f>
        <v>0</v>
      </c>
      <c r="AB32" s="53">
        <v>1</v>
      </c>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row>
    <row r="33" spans="1:51" s="1" customFormat="1" x14ac:dyDescent="0.25">
      <c r="A33" s="44"/>
    </row>
    <row r="34" spans="1:51" s="1" customFormat="1" x14ac:dyDescent="0.25">
      <c r="H34" s="84" t="s">
        <v>91</v>
      </c>
      <c r="I34" s="84"/>
      <c r="J34" s="84"/>
    </row>
    <row r="35" spans="1:51" ht="15" x14ac:dyDescent="0.25">
      <c r="B35" s="54" t="e" cm="1" vm="2">
        <f t="array" ref="B35:AB35">IF(TRANSPOSE(A6:A32)=0,"-",TRANSPOSE(A6:A32))</f>
        <v>#VALUE!</v>
      </c>
      <c r="C35" s="54" t="str">
        <v>-</v>
      </c>
      <c r="D35" s="54" t="str">
        <v>-</v>
      </c>
      <c r="E35" s="54" t="str">
        <v>-</v>
      </c>
      <c r="F35" s="54" t="str">
        <v>-</v>
      </c>
      <c r="G35" s="54" t="str">
        <v>-</v>
      </c>
      <c r="H35" s="54" t="str">
        <v>-</v>
      </c>
      <c r="I35" s="54" t="str">
        <v>-</v>
      </c>
      <c r="J35" s="54" t="str">
        <v>-</v>
      </c>
      <c r="K35" s="54" t="str">
        <v>-</v>
      </c>
      <c r="L35" s="54" t="str">
        <v>-</v>
      </c>
      <c r="M35" s="54" t="str">
        <v>-</v>
      </c>
      <c r="N35" s="54" t="str">
        <v>-</v>
      </c>
      <c r="O35" s="54" t="str">
        <v>-</v>
      </c>
      <c r="P35" s="54" t="str">
        <v>-</v>
      </c>
      <c r="Q35" s="54" t="str">
        <v>-</v>
      </c>
      <c r="R35" s="54" t="str">
        <v>-</v>
      </c>
      <c r="S35" s="54" t="str">
        <v>-</v>
      </c>
      <c r="T35" s="54" t="str">
        <v>-</v>
      </c>
      <c r="U35" s="54" t="str">
        <v>-</v>
      </c>
      <c r="V35" s="54" t="str">
        <v>-</v>
      </c>
      <c r="W35" s="54" t="str">
        <v>-</v>
      </c>
      <c r="X35" s="54" t="str">
        <v>-</v>
      </c>
      <c r="Y35" s="54" t="str">
        <v>-</v>
      </c>
      <c r="Z35" s="54" t="str">
        <v>-</v>
      </c>
      <c r="AA35" s="54" t="str">
        <v>-</v>
      </c>
      <c r="AB35" s="54" t="str">
        <v>-</v>
      </c>
      <c r="AC35" s="35" t="s">
        <v>69</v>
      </c>
      <c r="AD35" s="55" t="s">
        <v>72</v>
      </c>
      <c r="AE35" s="1"/>
      <c r="AF35" s="1"/>
      <c r="AG35" s="1"/>
      <c r="AH35" s="1"/>
      <c r="AI35" s="1"/>
      <c r="AJ35" s="1"/>
      <c r="AK35" s="1"/>
      <c r="AL35" s="1"/>
      <c r="AM35" s="1"/>
      <c r="AN35" s="1"/>
      <c r="AO35" s="1"/>
      <c r="AP35" s="1"/>
      <c r="AQ35" s="1"/>
      <c r="AR35" s="1"/>
      <c r="AS35" s="1"/>
      <c r="AT35" s="1"/>
      <c r="AU35" s="1"/>
      <c r="AV35" s="1"/>
      <c r="AW35" s="1"/>
      <c r="AX35" s="1"/>
      <c r="AY35" s="1"/>
    </row>
    <row r="36" spans="1:51" x14ac:dyDescent="0.25">
      <c r="A36" s="56" t="e" cm="1" vm="2">
        <f t="array" ref="A36">_xlfn._xlws.FILTER('AHP(Structure the hierarchy)'!B6:B33, 'AHP(Structure the hierarchy)'!B6:B33&lt;&gt;"")</f>
        <v>#VALUE!</v>
      </c>
      <c r="B36" s="57">
        <f>IF($B$6=0,0,$B$6*B6+$C$6*B7+$D$6*B8+$E$6*B9+$F$6*B10+$G$6*B11+H6*B12+I6*B13+J6*B14+K6*B15+L6*B16+M6*B17+N6*B18+O6*B19+P6*B20+Q6*B21+R6*B22+S6*B23+T6*B24+U6*B25+V6*B26+W6*B27+X6*B28+Y6*B29+Z6*B30+AA6*B31+AB6*B32)</f>
        <v>1</v>
      </c>
      <c r="C36" s="57">
        <f t="shared" ref="C36:AB36" si="0">IF($B$6=0,0,$B$6*C6+$C$6*C7+$D$6*C8+$E$6*C9+$F$6*C10+$G$6*C11+I6*C12+J6*C13+K6*C14+L6*C15+M6*C16+N6*C17+O6*C18+P6*C19+Q6*C20+R6*C21+S6*C22+T6*C23+U6*C24+V6*C25+W6*C26+X6*C27+Y6*C28+Z6*C29+AA6*C30+AB6*C31+AC6*C32)</f>
        <v>0</v>
      </c>
      <c r="D36" s="57">
        <f t="shared" si="0"/>
        <v>0</v>
      </c>
      <c r="E36" s="57">
        <f t="shared" si="0"/>
        <v>0</v>
      </c>
      <c r="F36" s="57">
        <f t="shared" si="0"/>
        <v>0</v>
      </c>
      <c r="G36" s="57">
        <f t="shared" si="0"/>
        <v>0</v>
      </c>
      <c r="H36" s="57">
        <f t="shared" si="0"/>
        <v>0</v>
      </c>
      <c r="I36" s="57">
        <f t="shared" si="0"/>
        <v>0</v>
      </c>
      <c r="J36" s="57">
        <f t="shared" si="0"/>
        <v>0</v>
      </c>
      <c r="K36" s="57">
        <f t="shared" si="0"/>
        <v>0</v>
      </c>
      <c r="L36" s="57">
        <f t="shared" si="0"/>
        <v>0</v>
      </c>
      <c r="M36" s="57">
        <f t="shared" si="0"/>
        <v>0</v>
      </c>
      <c r="N36" s="57">
        <f t="shared" si="0"/>
        <v>0</v>
      </c>
      <c r="O36" s="57">
        <f t="shared" si="0"/>
        <v>0</v>
      </c>
      <c r="P36" s="57">
        <f t="shared" si="0"/>
        <v>0</v>
      </c>
      <c r="Q36" s="57">
        <f t="shared" si="0"/>
        <v>0</v>
      </c>
      <c r="R36" s="57">
        <f t="shared" si="0"/>
        <v>0</v>
      </c>
      <c r="S36" s="57">
        <f t="shared" si="0"/>
        <v>0</v>
      </c>
      <c r="T36" s="57">
        <f t="shared" si="0"/>
        <v>0</v>
      </c>
      <c r="U36" s="57">
        <f t="shared" si="0"/>
        <v>0</v>
      </c>
      <c r="V36" s="57">
        <f t="shared" si="0"/>
        <v>0</v>
      </c>
      <c r="W36" s="57">
        <f t="shared" si="0"/>
        <v>0</v>
      </c>
      <c r="X36" s="57">
        <f t="shared" si="0"/>
        <v>0</v>
      </c>
      <c r="Y36" s="57">
        <f t="shared" si="0"/>
        <v>0</v>
      </c>
      <c r="Z36" s="57">
        <f t="shared" si="0"/>
        <v>0</v>
      </c>
      <c r="AA36" s="57">
        <f t="shared" si="0"/>
        <v>0</v>
      </c>
      <c r="AB36" s="57">
        <f t="shared" si="0"/>
        <v>0</v>
      </c>
      <c r="AC36" s="57">
        <f>SUM(B36:AB36)</f>
        <v>1</v>
      </c>
      <c r="AD36" s="57">
        <f t="shared" ref="AD36:AD62" si="1">AC36/$AC$63</f>
        <v>1</v>
      </c>
      <c r="AE36" s="1"/>
      <c r="AF36" s="1"/>
      <c r="AG36" s="1"/>
      <c r="AH36" s="1"/>
      <c r="AI36" s="1"/>
      <c r="AJ36" s="1"/>
      <c r="AK36" s="1"/>
      <c r="AL36" s="1"/>
      <c r="AM36" s="1"/>
      <c r="AN36" s="1"/>
      <c r="AO36" s="1"/>
      <c r="AP36" s="1"/>
      <c r="AQ36" s="1"/>
      <c r="AR36" s="1"/>
      <c r="AS36" s="1"/>
      <c r="AT36" s="1"/>
      <c r="AU36" s="1"/>
      <c r="AV36" s="1"/>
      <c r="AW36" s="1"/>
      <c r="AX36" s="1"/>
      <c r="AY36" s="1"/>
    </row>
    <row r="37" spans="1:51" x14ac:dyDescent="0.25">
      <c r="A37" s="56"/>
      <c r="B37" s="57">
        <f>IF($B$7=0,0,$B$7*B6+$C$7*B7+$D$7*B8+$E$7*B9+$F$7*B10+$G$7*B11+$H$7*B12+$I$7*B13+$J$7*B14+$K$7*B15+$L$7*B16+$M$7*B17+$N$7*B18+$O$7*B19+$P$7*B20+$Q$7*B21+$R$7*B22+$S$7*B23+$T$7*B24+$U$7*B25+$V$7*B26+$W$7*B27+$X$7*B28+$Y$7*B29+$Z$7*B30+$AA$7*B31+$AB$7*B32)</f>
        <v>0</v>
      </c>
      <c r="C37" s="57">
        <f t="shared" ref="C37:AB37" si="2">IF($B$7=0,0,$B$7*C6+$C$7*C7+$D$7*C8+$E$7*C9+$F$7*C10+$G$7*C11+$H$7*C12+$I$7*C13+$J$7*C14+$K$7*C15+$L$7*C16+$M$7*C17+$N$7*C18+$O$7*C19+$P$7*C20+$Q$7*C21+$R$7*C22+$S$7*C23+$T$7*C24+$U$7*C25+$V$7*C26+$W$7*C27+$X$7*C28+$Y$7*C29+$Z$7*C30+$AA$7*C31+$AB$7*C32)</f>
        <v>0</v>
      </c>
      <c r="D37" s="57">
        <f t="shared" si="2"/>
        <v>0</v>
      </c>
      <c r="E37" s="57">
        <f t="shared" si="2"/>
        <v>0</v>
      </c>
      <c r="F37" s="57">
        <f t="shared" si="2"/>
        <v>0</v>
      </c>
      <c r="G37" s="57">
        <f t="shared" si="2"/>
        <v>0</v>
      </c>
      <c r="H37" s="57">
        <f t="shared" si="2"/>
        <v>0</v>
      </c>
      <c r="I37" s="57">
        <f t="shared" si="2"/>
        <v>0</v>
      </c>
      <c r="J37" s="57">
        <f t="shared" si="2"/>
        <v>0</v>
      </c>
      <c r="K37" s="57">
        <f t="shared" si="2"/>
        <v>0</v>
      </c>
      <c r="L37" s="57">
        <f t="shared" si="2"/>
        <v>0</v>
      </c>
      <c r="M37" s="57">
        <f t="shared" si="2"/>
        <v>0</v>
      </c>
      <c r="N37" s="57">
        <f t="shared" si="2"/>
        <v>0</v>
      </c>
      <c r="O37" s="57">
        <f t="shared" si="2"/>
        <v>0</v>
      </c>
      <c r="P37" s="57">
        <f t="shared" si="2"/>
        <v>0</v>
      </c>
      <c r="Q37" s="57">
        <f t="shared" si="2"/>
        <v>0</v>
      </c>
      <c r="R37" s="57">
        <f t="shared" si="2"/>
        <v>0</v>
      </c>
      <c r="S37" s="57">
        <f t="shared" si="2"/>
        <v>0</v>
      </c>
      <c r="T37" s="57">
        <f t="shared" si="2"/>
        <v>0</v>
      </c>
      <c r="U37" s="57">
        <f t="shared" si="2"/>
        <v>0</v>
      </c>
      <c r="V37" s="57">
        <f t="shared" si="2"/>
        <v>0</v>
      </c>
      <c r="W37" s="57">
        <f t="shared" si="2"/>
        <v>0</v>
      </c>
      <c r="X37" s="57">
        <f t="shared" si="2"/>
        <v>0</v>
      </c>
      <c r="Y37" s="57">
        <f t="shared" si="2"/>
        <v>0</v>
      </c>
      <c r="Z37" s="57">
        <f t="shared" si="2"/>
        <v>0</v>
      </c>
      <c r="AA37" s="57">
        <f t="shared" si="2"/>
        <v>0</v>
      </c>
      <c r="AB37" s="57">
        <f t="shared" si="2"/>
        <v>0</v>
      </c>
      <c r="AC37" s="57">
        <f t="shared" ref="AC37:AC62" si="3">SUM(B37:AB37)</f>
        <v>0</v>
      </c>
      <c r="AD37" s="57">
        <f t="shared" si="1"/>
        <v>0</v>
      </c>
      <c r="AE37" s="1"/>
      <c r="AF37" s="1"/>
      <c r="AG37" s="1"/>
      <c r="AH37" s="1"/>
      <c r="AI37" s="1"/>
      <c r="AJ37" s="1"/>
      <c r="AK37" s="1"/>
      <c r="AL37" s="1"/>
      <c r="AM37" s="1"/>
      <c r="AN37" s="1"/>
      <c r="AO37" s="1"/>
      <c r="AP37" s="1"/>
      <c r="AQ37" s="1"/>
      <c r="AR37" s="1"/>
      <c r="AS37" s="1"/>
      <c r="AT37" s="1"/>
      <c r="AU37" s="1"/>
      <c r="AV37" s="1"/>
      <c r="AW37" s="1"/>
      <c r="AX37" s="1"/>
      <c r="AY37" s="1"/>
    </row>
    <row r="38" spans="1:51" x14ac:dyDescent="0.25">
      <c r="A38" s="56"/>
      <c r="B38" s="57">
        <f>IF($B$8=0,0,$B$8*B6+$C$8*B7+$D$8*B8+$E$8*B9+$F$8*B10+$G$8*B11+$H$8*B12+$I$8*B13+$J$8*B14+$K$8*B15+$L$8*B16+$M$8*B17+$N$8*B18+$O$8*B19+$P$8*B20+$Q$8*B21+$R$8*B22+$S$8*B23+$T$8*B24+$U$8*B25+$V$8*B26+$W$8*B27+$X$8*B28+$Y$8*B29+$Z$8*B30+$AA$8*B31+$AB$8*B32)</f>
        <v>0</v>
      </c>
      <c r="C38" s="57">
        <f t="shared" ref="C38:AB38" si="4">IF($B$8=0,0,$B$8*C6+$C$8*C7+$D$8*C8+$E$8*C9+$F$8*C10+$G$8*C11+$H$8*C12+$I$8*C13+$J$8*C14+$K$8*C15+$L$8*C16+$M$8*C17+$N$8*C18+$O$8*C19+$P$8*C20+$Q$8*C21+$R$8*C22+$S$8*C23+$T$8*C24+$U$8*C25+$V$8*C26+$W$8*C27+$X$8*C28+$Y$8*C29+$Z$8*C30+$AA$8*C31+$AB$8*C32)</f>
        <v>0</v>
      </c>
      <c r="D38" s="57">
        <f t="shared" si="4"/>
        <v>0</v>
      </c>
      <c r="E38" s="57">
        <f t="shared" si="4"/>
        <v>0</v>
      </c>
      <c r="F38" s="57">
        <f t="shared" si="4"/>
        <v>0</v>
      </c>
      <c r="G38" s="57">
        <f t="shared" si="4"/>
        <v>0</v>
      </c>
      <c r="H38" s="57">
        <f t="shared" si="4"/>
        <v>0</v>
      </c>
      <c r="I38" s="57">
        <f t="shared" si="4"/>
        <v>0</v>
      </c>
      <c r="J38" s="57">
        <f t="shared" si="4"/>
        <v>0</v>
      </c>
      <c r="K38" s="57">
        <f t="shared" si="4"/>
        <v>0</v>
      </c>
      <c r="L38" s="57">
        <f t="shared" si="4"/>
        <v>0</v>
      </c>
      <c r="M38" s="57">
        <f t="shared" si="4"/>
        <v>0</v>
      </c>
      <c r="N38" s="57">
        <f t="shared" si="4"/>
        <v>0</v>
      </c>
      <c r="O38" s="57">
        <f t="shared" si="4"/>
        <v>0</v>
      </c>
      <c r="P38" s="57">
        <f t="shared" si="4"/>
        <v>0</v>
      </c>
      <c r="Q38" s="57">
        <f t="shared" si="4"/>
        <v>0</v>
      </c>
      <c r="R38" s="57">
        <f t="shared" si="4"/>
        <v>0</v>
      </c>
      <c r="S38" s="57">
        <f t="shared" si="4"/>
        <v>0</v>
      </c>
      <c r="T38" s="57">
        <f t="shared" si="4"/>
        <v>0</v>
      </c>
      <c r="U38" s="57">
        <f t="shared" si="4"/>
        <v>0</v>
      </c>
      <c r="V38" s="57">
        <f t="shared" si="4"/>
        <v>0</v>
      </c>
      <c r="W38" s="57">
        <f t="shared" si="4"/>
        <v>0</v>
      </c>
      <c r="X38" s="57">
        <f t="shared" si="4"/>
        <v>0</v>
      </c>
      <c r="Y38" s="57">
        <f t="shared" si="4"/>
        <v>0</v>
      </c>
      <c r="Z38" s="57">
        <f t="shared" si="4"/>
        <v>0</v>
      </c>
      <c r="AA38" s="57">
        <f t="shared" si="4"/>
        <v>0</v>
      </c>
      <c r="AB38" s="57">
        <f t="shared" si="4"/>
        <v>0</v>
      </c>
      <c r="AC38" s="57">
        <f t="shared" si="3"/>
        <v>0</v>
      </c>
      <c r="AD38" s="57">
        <f t="shared" si="1"/>
        <v>0</v>
      </c>
      <c r="AE38" s="1"/>
      <c r="AF38" s="1"/>
      <c r="AG38" s="1"/>
      <c r="AH38" s="1"/>
      <c r="AI38" s="1"/>
      <c r="AJ38" s="1"/>
      <c r="AK38" s="1"/>
      <c r="AL38" s="1"/>
      <c r="AM38" s="1"/>
      <c r="AN38" s="1"/>
      <c r="AO38" s="1"/>
      <c r="AP38" s="1"/>
      <c r="AQ38" s="1"/>
      <c r="AR38" s="1"/>
      <c r="AS38" s="1"/>
      <c r="AT38" s="1"/>
      <c r="AU38" s="1"/>
      <c r="AV38" s="1"/>
      <c r="AW38" s="1"/>
      <c r="AX38" s="1"/>
      <c r="AY38" s="1"/>
    </row>
    <row r="39" spans="1:51" x14ac:dyDescent="0.25">
      <c r="A39" s="56"/>
      <c r="B39" s="57">
        <f>IF($B$9=0,0,$B$9*B6+$C$9*B7+$D$9*B8+$E$9*B9+$F$9*B10+$G$9*B11+$H$9*B12+$I$9*B13+$J$9*B14+$K$9*B15+$L$9*B16+$M$9*B17+$N$9*B18+$O$9*B19+$P$9*B20+$Q$9*B21+$R$9*B22+$S$9*B23+$T$9*B24+$U$9*B25+$V$9*B26+$W$9*B27+$X$9*B28+$Y$9*B29+$Z$9*B30+$AA$9*B31+$AB$9*B32)</f>
        <v>0</v>
      </c>
      <c r="C39" s="57">
        <f t="shared" ref="C39:AB39" si="5">IF($B$9=0,0,$B$9*C6+$C$9*C7+$D$9*C8+$E$9*C9+$F$9*C10+$G$9*C11+$H$9*C12+$I$9*C13+$J$9*C14+$K$9*C15+$L$9*C16+$M$9*C17+$N$9*C18+$O$9*C19+$P$9*C20+$Q$9*C21+$R$9*C22+$S$9*C23+$T$9*C24+$U$9*C25+$V$9*C26+$W$9*C27+$X$9*C28+$Y$9*C29+$Z$9*C30+$AA$9*C31+$AB$9*C32)</f>
        <v>0</v>
      </c>
      <c r="D39" s="57">
        <f t="shared" si="5"/>
        <v>0</v>
      </c>
      <c r="E39" s="57">
        <f t="shared" si="5"/>
        <v>0</v>
      </c>
      <c r="F39" s="57">
        <f t="shared" si="5"/>
        <v>0</v>
      </c>
      <c r="G39" s="57">
        <f t="shared" si="5"/>
        <v>0</v>
      </c>
      <c r="H39" s="57">
        <f t="shared" si="5"/>
        <v>0</v>
      </c>
      <c r="I39" s="57">
        <f t="shared" si="5"/>
        <v>0</v>
      </c>
      <c r="J39" s="57">
        <f t="shared" si="5"/>
        <v>0</v>
      </c>
      <c r="K39" s="57">
        <f t="shared" si="5"/>
        <v>0</v>
      </c>
      <c r="L39" s="57">
        <f t="shared" si="5"/>
        <v>0</v>
      </c>
      <c r="M39" s="57">
        <f t="shared" si="5"/>
        <v>0</v>
      </c>
      <c r="N39" s="57">
        <f t="shared" si="5"/>
        <v>0</v>
      </c>
      <c r="O39" s="57">
        <f t="shared" si="5"/>
        <v>0</v>
      </c>
      <c r="P39" s="57">
        <f t="shared" si="5"/>
        <v>0</v>
      </c>
      <c r="Q39" s="57">
        <f t="shared" si="5"/>
        <v>0</v>
      </c>
      <c r="R39" s="57">
        <f t="shared" si="5"/>
        <v>0</v>
      </c>
      <c r="S39" s="57">
        <f t="shared" si="5"/>
        <v>0</v>
      </c>
      <c r="T39" s="57">
        <f t="shared" si="5"/>
        <v>0</v>
      </c>
      <c r="U39" s="57">
        <f t="shared" si="5"/>
        <v>0</v>
      </c>
      <c r="V39" s="57">
        <f t="shared" si="5"/>
        <v>0</v>
      </c>
      <c r="W39" s="57">
        <f t="shared" si="5"/>
        <v>0</v>
      </c>
      <c r="X39" s="57">
        <f t="shared" si="5"/>
        <v>0</v>
      </c>
      <c r="Y39" s="57">
        <f t="shared" si="5"/>
        <v>0</v>
      </c>
      <c r="Z39" s="57">
        <f t="shared" si="5"/>
        <v>0</v>
      </c>
      <c r="AA39" s="57">
        <f t="shared" si="5"/>
        <v>0</v>
      </c>
      <c r="AB39" s="57">
        <f t="shared" si="5"/>
        <v>0</v>
      </c>
      <c r="AC39" s="57">
        <f t="shared" si="3"/>
        <v>0</v>
      </c>
      <c r="AD39" s="57">
        <f t="shared" si="1"/>
        <v>0</v>
      </c>
      <c r="AE39" s="1"/>
      <c r="AF39" s="1"/>
      <c r="AG39" s="1"/>
      <c r="AH39" s="1"/>
      <c r="AI39" s="1"/>
      <c r="AJ39" s="1"/>
      <c r="AK39" s="1"/>
      <c r="AL39" s="1"/>
      <c r="AM39" s="1"/>
      <c r="AN39" s="1"/>
      <c r="AO39" s="1"/>
      <c r="AP39" s="1"/>
      <c r="AQ39" s="1"/>
      <c r="AR39" s="1"/>
      <c r="AS39" s="1"/>
      <c r="AT39" s="1"/>
      <c r="AU39" s="1"/>
      <c r="AV39" s="1"/>
      <c r="AW39" s="1"/>
      <c r="AX39" s="1"/>
      <c r="AY39" s="1"/>
    </row>
    <row r="40" spans="1:51" x14ac:dyDescent="0.25">
      <c r="A40" s="56"/>
      <c r="B40" s="57">
        <f>IF($B$10=0,0,$B$10*B6+$C$10*B7+$D$10*B8+$E$10*B9+$F$10*B10+$G$10*B11+$H$10*B12+$I$10*B13+$J$10*B14+$K$10*B15+$L$10*B16+$M$10*B17+$N$10*B18+$O$10*B19+$P$10*B20+$Q$10*B21+$R$10*B22+$S$10*B23+$T$10*B24+$U$10*B25+$V$10*B26+$W$10*B27+$X$10*B28+$Y$10*B29+$Z$10*B30+$AA$10*B31+$AB$10*B32)</f>
        <v>0</v>
      </c>
      <c r="C40" s="57">
        <f t="shared" ref="C40:AB40" si="6">IF($B$10=0,0,$B$10*C6+$C$10*C7+$D$10*C8+$E$10*C9+$F$10*C10+$G$10*C11+$H$10*C12+$I$10*C13+$J$10*C14+$K$10*C15+$L$10*C16+$M$10*C17+$N$10*C18+$O$10*C19+$P$10*C20+$Q$10*C21+$R$10*C22+$S$10*C23+$T$10*C24+$U$10*C25+$V$10*C26+$W$10*C27+$X$10*C28+$Y$10*C29+$Z$10*C30+$AA$10*C31+$AB$10*C32)</f>
        <v>0</v>
      </c>
      <c r="D40" s="57">
        <f t="shared" si="6"/>
        <v>0</v>
      </c>
      <c r="E40" s="57">
        <f t="shared" si="6"/>
        <v>0</v>
      </c>
      <c r="F40" s="57">
        <f t="shared" si="6"/>
        <v>0</v>
      </c>
      <c r="G40" s="57">
        <f t="shared" si="6"/>
        <v>0</v>
      </c>
      <c r="H40" s="57">
        <f t="shared" si="6"/>
        <v>0</v>
      </c>
      <c r="I40" s="57">
        <f t="shared" si="6"/>
        <v>0</v>
      </c>
      <c r="J40" s="57">
        <f t="shared" si="6"/>
        <v>0</v>
      </c>
      <c r="K40" s="57">
        <f t="shared" si="6"/>
        <v>0</v>
      </c>
      <c r="L40" s="57">
        <f t="shared" si="6"/>
        <v>0</v>
      </c>
      <c r="M40" s="57">
        <f t="shared" si="6"/>
        <v>0</v>
      </c>
      <c r="N40" s="57">
        <f t="shared" si="6"/>
        <v>0</v>
      </c>
      <c r="O40" s="57">
        <f t="shared" si="6"/>
        <v>0</v>
      </c>
      <c r="P40" s="57">
        <f t="shared" si="6"/>
        <v>0</v>
      </c>
      <c r="Q40" s="57">
        <f t="shared" si="6"/>
        <v>0</v>
      </c>
      <c r="R40" s="57">
        <f t="shared" si="6"/>
        <v>0</v>
      </c>
      <c r="S40" s="57">
        <f t="shared" si="6"/>
        <v>0</v>
      </c>
      <c r="T40" s="57">
        <f t="shared" si="6"/>
        <v>0</v>
      </c>
      <c r="U40" s="57">
        <f t="shared" si="6"/>
        <v>0</v>
      </c>
      <c r="V40" s="57">
        <f t="shared" si="6"/>
        <v>0</v>
      </c>
      <c r="W40" s="57">
        <f t="shared" si="6"/>
        <v>0</v>
      </c>
      <c r="X40" s="57">
        <f t="shared" si="6"/>
        <v>0</v>
      </c>
      <c r="Y40" s="57">
        <f t="shared" si="6"/>
        <v>0</v>
      </c>
      <c r="Z40" s="57">
        <f t="shared" si="6"/>
        <v>0</v>
      </c>
      <c r="AA40" s="57">
        <f t="shared" si="6"/>
        <v>0</v>
      </c>
      <c r="AB40" s="57">
        <f t="shared" si="6"/>
        <v>0</v>
      </c>
      <c r="AC40" s="57">
        <f t="shared" si="3"/>
        <v>0</v>
      </c>
      <c r="AD40" s="57">
        <f t="shared" si="1"/>
        <v>0</v>
      </c>
      <c r="AE40" s="1"/>
      <c r="AF40" s="1"/>
      <c r="AG40" s="1"/>
      <c r="AH40" s="1"/>
      <c r="AI40" s="1"/>
      <c r="AJ40" s="1"/>
      <c r="AK40" s="1"/>
      <c r="AL40" s="1"/>
      <c r="AM40" s="1"/>
      <c r="AN40" s="1"/>
      <c r="AO40" s="1"/>
      <c r="AP40" s="1"/>
      <c r="AQ40" s="1"/>
      <c r="AR40" s="1"/>
      <c r="AS40" s="1"/>
      <c r="AT40" s="1"/>
      <c r="AU40" s="1"/>
      <c r="AV40" s="1"/>
      <c r="AW40" s="1"/>
      <c r="AX40" s="1"/>
      <c r="AY40" s="1"/>
    </row>
    <row r="41" spans="1:51" x14ac:dyDescent="0.25">
      <c r="A41" s="56"/>
      <c r="B41" s="57">
        <f>IF($B$11=0,0,$B$11*B6+$C$11*B7+$D$11*B8+$E$11*B9+$F$11*B10+$G$11*B11+$H$11*B12+$I$11*B13+$J$11*B14+$K$11*B15+$L$11*B16+$M$11*B17+$N$11*B18+$O$11*B19+$P$11*B20+$Q$11*B21+$R$11*B22+$S$11*B23+$T$11*B24+$U$11*B25+$V$11*B26+$W$11*B27+$X$11*B28+$Y$11*B29+$Z$11*B30+$AA$11*B31+$AB$11*B32)</f>
        <v>0</v>
      </c>
      <c r="C41" s="57">
        <f t="shared" ref="C41:AB41" si="7">IF($B$11=0,0,$B$11*C6+$C$11*C7+$D$11*C8+$E$11*C9+$F$11*C10+$G$11*C11+$H$11*C12+$I$11*C13+$J$11*C14+$K$11*C15+$L$11*C16+$M$11*C17+$N$11*C18+$O$11*C19+$P$11*C20+$Q$11*C21+$R$11*C22+$S$11*C23+$T$11*C24+$U$11*C25+$V$11*C26+$W$11*C27+$X$11*C28+$Y$11*C29+$Z$11*C30+$AA$11*C31+$AB$11*C32)</f>
        <v>0</v>
      </c>
      <c r="D41" s="57">
        <f t="shared" si="7"/>
        <v>0</v>
      </c>
      <c r="E41" s="57">
        <f t="shared" si="7"/>
        <v>0</v>
      </c>
      <c r="F41" s="57">
        <f t="shared" si="7"/>
        <v>0</v>
      </c>
      <c r="G41" s="57">
        <f t="shared" si="7"/>
        <v>0</v>
      </c>
      <c r="H41" s="57">
        <f t="shared" si="7"/>
        <v>0</v>
      </c>
      <c r="I41" s="57">
        <f t="shared" si="7"/>
        <v>0</v>
      </c>
      <c r="J41" s="57">
        <f t="shared" si="7"/>
        <v>0</v>
      </c>
      <c r="K41" s="57">
        <f t="shared" si="7"/>
        <v>0</v>
      </c>
      <c r="L41" s="57">
        <f t="shared" si="7"/>
        <v>0</v>
      </c>
      <c r="M41" s="57">
        <f t="shared" si="7"/>
        <v>0</v>
      </c>
      <c r="N41" s="57">
        <f t="shared" si="7"/>
        <v>0</v>
      </c>
      <c r="O41" s="57">
        <f t="shared" si="7"/>
        <v>0</v>
      </c>
      <c r="P41" s="57">
        <f t="shared" si="7"/>
        <v>0</v>
      </c>
      <c r="Q41" s="57">
        <f t="shared" si="7"/>
        <v>0</v>
      </c>
      <c r="R41" s="57">
        <f t="shared" si="7"/>
        <v>0</v>
      </c>
      <c r="S41" s="57">
        <f t="shared" si="7"/>
        <v>0</v>
      </c>
      <c r="T41" s="57">
        <f t="shared" si="7"/>
        <v>0</v>
      </c>
      <c r="U41" s="57">
        <f t="shared" si="7"/>
        <v>0</v>
      </c>
      <c r="V41" s="57">
        <f t="shared" si="7"/>
        <v>0</v>
      </c>
      <c r="W41" s="57">
        <f t="shared" si="7"/>
        <v>0</v>
      </c>
      <c r="X41" s="57">
        <f t="shared" si="7"/>
        <v>0</v>
      </c>
      <c r="Y41" s="57">
        <f t="shared" si="7"/>
        <v>0</v>
      </c>
      <c r="Z41" s="57">
        <f t="shared" si="7"/>
        <v>0</v>
      </c>
      <c r="AA41" s="57">
        <f t="shared" si="7"/>
        <v>0</v>
      </c>
      <c r="AB41" s="57">
        <f t="shared" si="7"/>
        <v>0</v>
      </c>
      <c r="AC41" s="57">
        <f t="shared" si="3"/>
        <v>0</v>
      </c>
      <c r="AD41" s="57">
        <f t="shared" si="1"/>
        <v>0</v>
      </c>
      <c r="AE41" s="1"/>
      <c r="AF41" s="1"/>
      <c r="AG41" s="1"/>
      <c r="AH41" s="1"/>
      <c r="AI41" s="1"/>
      <c r="AJ41" s="1"/>
      <c r="AK41" s="1"/>
      <c r="AL41" s="1"/>
      <c r="AM41" s="1"/>
      <c r="AN41" s="1"/>
      <c r="AO41" s="1"/>
      <c r="AP41" s="1"/>
      <c r="AQ41" s="1"/>
      <c r="AR41" s="1"/>
      <c r="AS41" s="1"/>
      <c r="AT41" s="1"/>
      <c r="AU41" s="1"/>
      <c r="AV41" s="1"/>
      <c r="AW41" s="1"/>
      <c r="AX41" s="1"/>
      <c r="AY41" s="1"/>
    </row>
    <row r="42" spans="1:51" x14ac:dyDescent="0.25">
      <c r="A42" s="56"/>
      <c r="B42" s="57">
        <f>IF($B$12=0,0,$B$12*B6+$C$12*B7+$D$12*B8+$E$12*B9+$F$12*B10+$G$12*B11+$H$12*B12+$I$12*B13+$J$12*B14+$K$12*B15+$L$12*B16+$M$12*B17+$N$12*B18+$O$12*B19+$P$12*B20+$Q$12*B21+$R$12*B22+$S$12*B23+$T$12*B24+$U$12*B25+$V$12*B26+$W$12*B27+$X$12*B28+$Y$12*B29+$Z$12*B30+$AA$12*B31+$AB$12*B32)</f>
        <v>0</v>
      </c>
      <c r="C42" s="57">
        <f t="shared" ref="C42:AB42" si="8">IF($B$12=0,0,$B$12*C6+$C$12*C7+$D$12*C8+$E$12*C9+$F$12*C10+$G$12*C11+$H$12*C12+$I$12*C13+$J$12*C14+$K$12*C15+$L$12*C16+$M$12*C17+$N$12*C18+$O$12*C19+$P$12*C20+$Q$12*C21+$R$12*C22+$S$12*C23+$T$12*C24+$U$12*C25+$V$12*C26+$W$12*C27+$X$12*C28+$Y$12*C29+$Z$12*C30+$AA$12*C31+$AB$12*C32)</f>
        <v>0</v>
      </c>
      <c r="D42" s="57">
        <f t="shared" si="8"/>
        <v>0</v>
      </c>
      <c r="E42" s="57">
        <f t="shared" si="8"/>
        <v>0</v>
      </c>
      <c r="F42" s="57">
        <f t="shared" si="8"/>
        <v>0</v>
      </c>
      <c r="G42" s="57">
        <f t="shared" si="8"/>
        <v>0</v>
      </c>
      <c r="H42" s="57">
        <f t="shared" si="8"/>
        <v>0</v>
      </c>
      <c r="I42" s="57">
        <f t="shared" si="8"/>
        <v>0</v>
      </c>
      <c r="J42" s="57">
        <f t="shared" si="8"/>
        <v>0</v>
      </c>
      <c r="K42" s="57">
        <f t="shared" si="8"/>
        <v>0</v>
      </c>
      <c r="L42" s="57">
        <f t="shared" si="8"/>
        <v>0</v>
      </c>
      <c r="M42" s="57">
        <f t="shared" si="8"/>
        <v>0</v>
      </c>
      <c r="N42" s="57">
        <f t="shared" si="8"/>
        <v>0</v>
      </c>
      <c r="O42" s="57">
        <f t="shared" si="8"/>
        <v>0</v>
      </c>
      <c r="P42" s="57">
        <f t="shared" si="8"/>
        <v>0</v>
      </c>
      <c r="Q42" s="57">
        <f t="shared" si="8"/>
        <v>0</v>
      </c>
      <c r="R42" s="57">
        <f t="shared" si="8"/>
        <v>0</v>
      </c>
      <c r="S42" s="57">
        <f t="shared" si="8"/>
        <v>0</v>
      </c>
      <c r="T42" s="57">
        <f t="shared" si="8"/>
        <v>0</v>
      </c>
      <c r="U42" s="57">
        <f t="shared" si="8"/>
        <v>0</v>
      </c>
      <c r="V42" s="57">
        <f t="shared" si="8"/>
        <v>0</v>
      </c>
      <c r="W42" s="57">
        <f t="shared" si="8"/>
        <v>0</v>
      </c>
      <c r="X42" s="57">
        <f t="shared" si="8"/>
        <v>0</v>
      </c>
      <c r="Y42" s="57">
        <f t="shared" si="8"/>
        <v>0</v>
      </c>
      <c r="Z42" s="57">
        <f t="shared" si="8"/>
        <v>0</v>
      </c>
      <c r="AA42" s="57">
        <f t="shared" si="8"/>
        <v>0</v>
      </c>
      <c r="AB42" s="57">
        <f t="shared" si="8"/>
        <v>0</v>
      </c>
      <c r="AC42" s="57">
        <f t="shared" si="3"/>
        <v>0</v>
      </c>
      <c r="AD42" s="57">
        <f t="shared" si="1"/>
        <v>0</v>
      </c>
      <c r="AE42" s="1"/>
      <c r="AF42" s="1"/>
      <c r="AG42" s="1"/>
      <c r="AH42" s="1"/>
      <c r="AI42" s="1"/>
      <c r="AJ42" s="1"/>
      <c r="AK42" s="1"/>
      <c r="AL42" s="1"/>
      <c r="AM42" s="1"/>
      <c r="AN42" s="1"/>
      <c r="AO42" s="1"/>
      <c r="AP42" s="1"/>
      <c r="AQ42" s="1"/>
      <c r="AR42" s="1"/>
      <c r="AS42" s="1"/>
      <c r="AT42" s="1"/>
      <c r="AU42" s="1"/>
      <c r="AV42" s="1"/>
      <c r="AW42" s="1"/>
      <c r="AX42" s="1"/>
      <c r="AY42" s="1"/>
    </row>
    <row r="43" spans="1:51" x14ac:dyDescent="0.25">
      <c r="A43" s="56"/>
      <c r="B43" s="57">
        <f>IF($B$13=0,0,$B$13*B6+$C$13*B7+$D$13*B8+$E$13*B9+$F$13*B10+$G$13*B11+$H$13*B12+$I$13*B13+$J$13*B14+$K$13*B15+$L$13*B16+$M$13*B17+$N$13*B18+$O$13*B19+$P$13*B20+$Q$13*B21+$R$13*B22+$S$13*B23+$T$13*B24+$U$13*B25+$V$13*B26+$W$13*B27+$X$13*B28+$Y$13*B29+$Z$13*B30+$AA$13*B31+$AB$13*B32)</f>
        <v>0</v>
      </c>
      <c r="C43" s="57">
        <f t="shared" ref="C43:AB43" si="9">IF($B$13=0,0,$B$13*C6+$C$13*C7+$D$13*C8+$E$13*C9+$F$13*C10+$G$13*C11+$H$13*C12+$I$13*C13+$J$13*C14+$K$13*C15+$L$13*C16+$M$13*C17+$N$13*C18+$O$13*C19+$P$13*C20+$Q$13*C21+$R$13*C22+$S$13*C23+$T$13*C24+$U$13*C25+$V$13*C26+$W$13*C27+$X$13*C28+$Y$13*C29+$Z$13*C30+$AA$13*C31+$AB$13*C32)</f>
        <v>0</v>
      </c>
      <c r="D43" s="57">
        <f t="shared" si="9"/>
        <v>0</v>
      </c>
      <c r="E43" s="57">
        <f t="shared" si="9"/>
        <v>0</v>
      </c>
      <c r="F43" s="57">
        <f t="shared" si="9"/>
        <v>0</v>
      </c>
      <c r="G43" s="57">
        <f t="shared" si="9"/>
        <v>0</v>
      </c>
      <c r="H43" s="57">
        <f t="shared" si="9"/>
        <v>0</v>
      </c>
      <c r="I43" s="57">
        <f t="shared" si="9"/>
        <v>0</v>
      </c>
      <c r="J43" s="57">
        <f t="shared" si="9"/>
        <v>0</v>
      </c>
      <c r="K43" s="57">
        <f t="shared" si="9"/>
        <v>0</v>
      </c>
      <c r="L43" s="57">
        <f t="shared" si="9"/>
        <v>0</v>
      </c>
      <c r="M43" s="57">
        <f t="shared" si="9"/>
        <v>0</v>
      </c>
      <c r="N43" s="57">
        <f t="shared" si="9"/>
        <v>0</v>
      </c>
      <c r="O43" s="57">
        <f t="shared" si="9"/>
        <v>0</v>
      </c>
      <c r="P43" s="57">
        <f t="shared" si="9"/>
        <v>0</v>
      </c>
      <c r="Q43" s="57">
        <f t="shared" si="9"/>
        <v>0</v>
      </c>
      <c r="R43" s="57">
        <f t="shared" si="9"/>
        <v>0</v>
      </c>
      <c r="S43" s="57">
        <f t="shared" si="9"/>
        <v>0</v>
      </c>
      <c r="T43" s="57">
        <f t="shared" si="9"/>
        <v>0</v>
      </c>
      <c r="U43" s="57">
        <f t="shared" si="9"/>
        <v>0</v>
      </c>
      <c r="V43" s="57">
        <f t="shared" si="9"/>
        <v>0</v>
      </c>
      <c r="W43" s="57">
        <f t="shared" si="9"/>
        <v>0</v>
      </c>
      <c r="X43" s="57">
        <f t="shared" si="9"/>
        <v>0</v>
      </c>
      <c r="Y43" s="57">
        <f t="shared" si="9"/>
        <v>0</v>
      </c>
      <c r="Z43" s="57">
        <f t="shared" si="9"/>
        <v>0</v>
      </c>
      <c r="AA43" s="57">
        <f t="shared" si="9"/>
        <v>0</v>
      </c>
      <c r="AB43" s="57">
        <f t="shared" si="9"/>
        <v>0</v>
      </c>
      <c r="AC43" s="57">
        <f t="shared" si="3"/>
        <v>0</v>
      </c>
      <c r="AD43" s="57">
        <f t="shared" si="1"/>
        <v>0</v>
      </c>
      <c r="AE43" s="1"/>
      <c r="AF43" s="1"/>
      <c r="AG43" s="1"/>
      <c r="AH43" s="1"/>
      <c r="AI43" s="1"/>
      <c r="AJ43" s="1"/>
      <c r="AK43" s="1"/>
      <c r="AL43" s="1"/>
      <c r="AM43" s="1"/>
      <c r="AN43" s="1"/>
      <c r="AO43" s="1"/>
      <c r="AP43" s="1"/>
      <c r="AQ43" s="1"/>
      <c r="AR43" s="1"/>
      <c r="AS43" s="1"/>
      <c r="AT43" s="1"/>
      <c r="AU43" s="1"/>
      <c r="AV43" s="1"/>
      <c r="AW43" s="1"/>
      <c r="AX43" s="1"/>
      <c r="AY43" s="1"/>
    </row>
    <row r="44" spans="1:51" x14ac:dyDescent="0.25">
      <c r="A44" s="56"/>
      <c r="B44" s="57">
        <f>IF($B$14=0,0,$B$14*B6+$C$14*B7+$D$14*B8+$E$14*B9+$F$14*B10+$G$14*B11+$H$14*B12+$I$14*B13+$J$14*B14+$K$14*B15+$L$14*B16+$M$14*B17+$N$14*B18+$O$14*B19+$P$14*B20+$Q$14*B21+$R$14*B22+$S$14*B23+$T$14*B24+$U$14*B25+$V$14*B26+$W$14*B27+$X$14*B28+$Y$14*B29+$Z$14*B30+$AA$14*B31+$AB$14*B32)</f>
        <v>0</v>
      </c>
      <c r="C44" s="57">
        <f t="shared" ref="C44:AB44" si="10">IF($B$14=0,0,$B$14*C6+$C$14*C7+$D$14*C8+$E$14*C9+$F$14*C10+$G$14*C11+$H$14*C12+$I$14*C13+$J$14*C14+$K$14*C15+$L$14*C16+$M$14*C17+$N$14*C18+$O$14*C19+$P$14*C20+$Q$14*C21+$R$14*C22+$S$14*C23+$T$14*C24+$U$14*C25+$V$14*C26+$W$14*C27+$X$14*C28+$Y$14*C29+$Z$14*C30+$AA$14*C31+$AB$14*C32)</f>
        <v>0</v>
      </c>
      <c r="D44" s="57">
        <f t="shared" si="10"/>
        <v>0</v>
      </c>
      <c r="E44" s="57">
        <f t="shared" si="10"/>
        <v>0</v>
      </c>
      <c r="F44" s="57">
        <f t="shared" si="10"/>
        <v>0</v>
      </c>
      <c r="G44" s="57">
        <f t="shared" si="10"/>
        <v>0</v>
      </c>
      <c r="H44" s="57">
        <f t="shared" si="10"/>
        <v>0</v>
      </c>
      <c r="I44" s="57">
        <f t="shared" si="10"/>
        <v>0</v>
      </c>
      <c r="J44" s="57">
        <f t="shared" si="10"/>
        <v>0</v>
      </c>
      <c r="K44" s="57">
        <f t="shared" si="10"/>
        <v>0</v>
      </c>
      <c r="L44" s="57">
        <f t="shared" si="10"/>
        <v>0</v>
      </c>
      <c r="M44" s="57">
        <f t="shared" si="10"/>
        <v>0</v>
      </c>
      <c r="N44" s="57">
        <f t="shared" si="10"/>
        <v>0</v>
      </c>
      <c r="O44" s="57">
        <f t="shared" si="10"/>
        <v>0</v>
      </c>
      <c r="P44" s="57">
        <f t="shared" si="10"/>
        <v>0</v>
      </c>
      <c r="Q44" s="57">
        <f t="shared" si="10"/>
        <v>0</v>
      </c>
      <c r="R44" s="57">
        <f t="shared" si="10"/>
        <v>0</v>
      </c>
      <c r="S44" s="57">
        <f t="shared" si="10"/>
        <v>0</v>
      </c>
      <c r="T44" s="57">
        <f t="shared" si="10"/>
        <v>0</v>
      </c>
      <c r="U44" s="57">
        <f t="shared" si="10"/>
        <v>0</v>
      </c>
      <c r="V44" s="57">
        <f t="shared" si="10"/>
        <v>0</v>
      </c>
      <c r="W44" s="57">
        <f t="shared" si="10"/>
        <v>0</v>
      </c>
      <c r="X44" s="57">
        <f t="shared" si="10"/>
        <v>0</v>
      </c>
      <c r="Y44" s="57">
        <f t="shared" si="10"/>
        <v>0</v>
      </c>
      <c r="Z44" s="57">
        <f t="shared" si="10"/>
        <v>0</v>
      </c>
      <c r="AA44" s="57">
        <f t="shared" si="10"/>
        <v>0</v>
      </c>
      <c r="AB44" s="57">
        <f t="shared" si="10"/>
        <v>0</v>
      </c>
      <c r="AC44" s="57">
        <f t="shared" si="3"/>
        <v>0</v>
      </c>
      <c r="AD44" s="57">
        <f t="shared" si="1"/>
        <v>0</v>
      </c>
      <c r="AE44" s="1"/>
      <c r="AF44" s="1"/>
      <c r="AG44" s="1"/>
      <c r="AH44" s="1"/>
      <c r="AI44" s="1"/>
      <c r="AJ44" s="1"/>
      <c r="AK44" s="1"/>
      <c r="AL44" s="1"/>
      <c r="AM44" s="1"/>
      <c r="AN44" s="1"/>
      <c r="AO44" s="1"/>
      <c r="AP44" s="1"/>
      <c r="AQ44" s="1"/>
      <c r="AR44" s="1"/>
      <c r="AS44" s="1"/>
      <c r="AT44" s="1"/>
      <c r="AU44" s="1"/>
      <c r="AV44" s="1"/>
      <c r="AW44" s="1"/>
      <c r="AX44" s="1"/>
      <c r="AY44" s="1"/>
    </row>
    <row r="45" spans="1:51" x14ac:dyDescent="0.25">
      <c r="A45" s="56"/>
      <c r="B45" s="57">
        <f>IF($B$15=0,0,$B$15*B6+$C$15*B7+$D$15*B8+$E$15*B9+$F$15*B10+$G$15*B11+$H$15*B12+$I$15*B13+$J$15*B14+$K$15*B15+$L$15*B16+$M$15*B17+$N$15*B18+$O$15*B19+$P$15*B20+$Q$15*B21+$R$15*B22+$S$15*B23+$T$15*B24+$U$15*B25+$V$15*B26+$W$15*B27+$X$15*B28+$Y$15*B29+$Z$15*B30+$AA$15*B31+$AB$15*B32)</f>
        <v>0</v>
      </c>
      <c r="C45" s="57">
        <f t="shared" ref="C45:AB45" si="11">IF($B$15=0,0,$B$15*C6+$C$15*C7+$D$15*C8+$E$15*C9+$F$15*C10+$G$15*C11+$H$15*C12+$I$15*C13+$J$15*C14+$K$15*C15+$L$15*C16+$M$15*C17+$N$15*C18+$O$15*C19+$P$15*C20+$Q$15*C21+$R$15*C22+$S$15*C23+$T$15*C24+$U$15*C25+$V$15*C26+$W$15*C27+$X$15*C28+$Y$15*C29+$Z$15*C30+$AA$15*C31+$AB$15*C32)</f>
        <v>0</v>
      </c>
      <c r="D45" s="57">
        <f t="shared" si="11"/>
        <v>0</v>
      </c>
      <c r="E45" s="57">
        <f t="shared" si="11"/>
        <v>0</v>
      </c>
      <c r="F45" s="57">
        <f t="shared" si="11"/>
        <v>0</v>
      </c>
      <c r="G45" s="57">
        <f t="shared" si="11"/>
        <v>0</v>
      </c>
      <c r="H45" s="57">
        <f t="shared" si="11"/>
        <v>0</v>
      </c>
      <c r="I45" s="57">
        <f t="shared" si="11"/>
        <v>0</v>
      </c>
      <c r="J45" s="57">
        <f t="shared" si="11"/>
        <v>0</v>
      </c>
      <c r="K45" s="57">
        <f t="shared" si="11"/>
        <v>0</v>
      </c>
      <c r="L45" s="57">
        <f t="shared" si="11"/>
        <v>0</v>
      </c>
      <c r="M45" s="57">
        <f t="shared" si="11"/>
        <v>0</v>
      </c>
      <c r="N45" s="57">
        <f t="shared" si="11"/>
        <v>0</v>
      </c>
      <c r="O45" s="57">
        <f t="shared" si="11"/>
        <v>0</v>
      </c>
      <c r="P45" s="57">
        <f t="shared" si="11"/>
        <v>0</v>
      </c>
      <c r="Q45" s="57">
        <f t="shared" si="11"/>
        <v>0</v>
      </c>
      <c r="R45" s="57">
        <f t="shared" si="11"/>
        <v>0</v>
      </c>
      <c r="S45" s="57">
        <f t="shared" si="11"/>
        <v>0</v>
      </c>
      <c r="T45" s="57">
        <f t="shared" si="11"/>
        <v>0</v>
      </c>
      <c r="U45" s="57">
        <f t="shared" si="11"/>
        <v>0</v>
      </c>
      <c r="V45" s="57">
        <f t="shared" si="11"/>
        <v>0</v>
      </c>
      <c r="W45" s="57">
        <f t="shared" si="11"/>
        <v>0</v>
      </c>
      <c r="X45" s="57">
        <f t="shared" si="11"/>
        <v>0</v>
      </c>
      <c r="Y45" s="57">
        <f t="shared" si="11"/>
        <v>0</v>
      </c>
      <c r="Z45" s="57">
        <f t="shared" si="11"/>
        <v>0</v>
      </c>
      <c r="AA45" s="57">
        <f t="shared" si="11"/>
        <v>0</v>
      </c>
      <c r="AB45" s="57">
        <f t="shared" si="11"/>
        <v>0</v>
      </c>
      <c r="AC45" s="57">
        <f t="shared" si="3"/>
        <v>0</v>
      </c>
      <c r="AD45" s="57">
        <f t="shared" si="1"/>
        <v>0</v>
      </c>
      <c r="AE45" s="1"/>
      <c r="AF45" s="1"/>
      <c r="AG45" s="1"/>
      <c r="AH45" s="1"/>
      <c r="AI45" s="1"/>
      <c r="AJ45" s="1"/>
      <c r="AK45" s="1"/>
      <c r="AL45" s="1"/>
      <c r="AM45" s="1"/>
      <c r="AN45" s="1"/>
      <c r="AO45" s="1"/>
      <c r="AP45" s="1"/>
      <c r="AQ45" s="1"/>
      <c r="AR45" s="1"/>
      <c r="AS45" s="1"/>
      <c r="AT45" s="1"/>
      <c r="AU45" s="1"/>
      <c r="AV45" s="1"/>
      <c r="AW45" s="1"/>
      <c r="AX45" s="1"/>
      <c r="AY45" s="1"/>
    </row>
    <row r="46" spans="1:51" x14ac:dyDescent="0.25">
      <c r="A46" s="56"/>
      <c r="B46" s="57">
        <f>IF($B$16=0,0,$B$16*B6+$C$16*B7+$D$16*B8+$E$16*B9+$F$16*B10+$G$16*B11+$H$16*B12+$I$16*B13+$J$16*B14+$K$16*B15+$L$16*B16+$M$16*B17+$N$16*B18+$O$16*B19+$P$16*B20+$Q$16*B21+$R$16*B22+$S$16*B23+$T$16*B24+$U$16*B25+$V$16*B26+$W$16*B27+$X$16*B28+$Y$16*B29+$Z$16*B30+$AA$16*B31+$AB$16*B32)</f>
        <v>0</v>
      </c>
      <c r="C46" s="57">
        <f t="shared" ref="C46:AB46" si="12">IF($B$16=0,0,$B$16*C6+$C$16*C7+$D$16*C8+$E$16*C9+$F$16*C10+$G$16*C11+$H$16*C12+$I$16*C13+$J$16*C14+$K$16*C15+$L$16*C16+$M$16*C17+$N$16*C18+$O$16*C19+$P$16*C20+$Q$16*C21+$R$16*C22+$S$16*C23+$T$16*C24+$U$16*C25+$V$16*C26+$W$16*C27+$X$16*C28+$Y$16*C29+$Z$16*C30+$AA$16*C31+$AB$16*C32)</f>
        <v>0</v>
      </c>
      <c r="D46" s="57">
        <f t="shared" si="12"/>
        <v>0</v>
      </c>
      <c r="E46" s="57">
        <f t="shared" si="12"/>
        <v>0</v>
      </c>
      <c r="F46" s="57">
        <f t="shared" si="12"/>
        <v>0</v>
      </c>
      <c r="G46" s="57">
        <f t="shared" si="12"/>
        <v>0</v>
      </c>
      <c r="H46" s="57">
        <f t="shared" si="12"/>
        <v>0</v>
      </c>
      <c r="I46" s="57">
        <f t="shared" si="12"/>
        <v>0</v>
      </c>
      <c r="J46" s="57">
        <f t="shared" si="12"/>
        <v>0</v>
      </c>
      <c r="K46" s="57">
        <f t="shared" si="12"/>
        <v>0</v>
      </c>
      <c r="L46" s="57">
        <f t="shared" si="12"/>
        <v>0</v>
      </c>
      <c r="M46" s="57">
        <f t="shared" si="12"/>
        <v>0</v>
      </c>
      <c r="N46" s="57">
        <f t="shared" si="12"/>
        <v>0</v>
      </c>
      <c r="O46" s="57">
        <f t="shared" si="12"/>
        <v>0</v>
      </c>
      <c r="P46" s="57">
        <f t="shared" si="12"/>
        <v>0</v>
      </c>
      <c r="Q46" s="57">
        <f t="shared" si="12"/>
        <v>0</v>
      </c>
      <c r="R46" s="57">
        <f t="shared" si="12"/>
        <v>0</v>
      </c>
      <c r="S46" s="57">
        <f t="shared" si="12"/>
        <v>0</v>
      </c>
      <c r="T46" s="57">
        <f t="shared" si="12"/>
        <v>0</v>
      </c>
      <c r="U46" s="57">
        <f t="shared" si="12"/>
        <v>0</v>
      </c>
      <c r="V46" s="57">
        <f t="shared" si="12"/>
        <v>0</v>
      </c>
      <c r="W46" s="57">
        <f t="shared" si="12"/>
        <v>0</v>
      </c>
      <c r="X46" s="57">
        <f t="shared" si="12"/>
        <v>0</v>
      </c>
      <c r="Y46" s="57">
        <f t="shared" si="12"/>
        <v>0</v>
      </c>
      <c r="Z46" s="57">
        <f t="shared" si="12"/>
        <v>0</v>
      </c>
      <c r="AA46" s="57">
        <f t="shared" si="12"/>
        <v>0</v>
      </c>
      <c r="AB46" s="57">
        <f t="shared" si="12"/>
        <v>0</v>
      </c>
      <c r="AC46" s="57">
        <f t="shared" si="3"/>
        <v>0</v>
      </c>
      <c r="AD46" s="57">
        <f t="shared" si="1"/>
        <v>0</v>
      </c>
      <c r="AE46" s="1"/>
      <c r="AF46" s="1"/>
      <c r="AG46" s="1"/>
      <c r="AH46" s="1"/>
      <c r="AI46" s="1"/>
      <c r="AJ46" s="1"/>
      <c r="AK46" s="1"/>
      <c r="AL46" s="1"/>
      <c r="AM46" s="1"/>
      <c r="AN46" s="1"/>
      <c r="AO46" s="1"/>
      <c r="AP46" s="1"/>
      <c r="AQ46" s="1"/>
      <c r="AR46" s="1"/>
      <c r="AS46" s="1"/>
      <c r="AT46" s="1"/>
      <c r="AU46" s="1"/>
      <c r="AV46" s="1"/>
      <c r="AW46" s="1"/>
      <c r="AX46" s="1"/>
      <c r="AY46" s="1"/>
    </row>
    <row r="47" spans="1:51" x14ac:dyDescent="0.25">
      <c r="A47" s="56"/>
      <c r="B47" s="57">
        <f>IF($B$17=0,0,$B$17*B6+$C$17*B7+$D$17*B8+$E$17*B9+$F$17*B10+$G$17*B11+$H$17*B12+$I$17*B13+$J$17*B14+$K$17*B15+$L$17*B16+$M$17*B17+$N$17*B18+$O$17*B19+$P$17*B20+$Q$17*B21+$R$17*B22+$S$17*B23+$T$17*B24+$U$17*B25+$V$17*B26+$W$17*B27+$X$17*B28+$Y$17*B29+$Z$17*B30+$AA$17*B31+$AB$17*B32)</f>
        <v>0</v>
      </c>
      <c r="C47" s="57">
        <f t="shared" ref="C47:AB47" si="13">IF($B$17=0,0,$B$17*C6+$C$17*C7+$D$17*C8+$E$17*C9+$F$17*C10+$G$17*C11+$H$17*C12+$I$17*C13+$J$17*C14+$K$17*C15+$L$17*C16+$M$17*C17+$N$17*C18+$O$17*C19+$P$17*C20+$Q$17*C21+$R$17*C22+$S$17*C23+$T$17*C24+$U$17*C25+$V$17*C26+$W$17*C27+$X$17*C28+$Y$17*C29+$Z$17*C30+$AA$17*C31+$AB$17*C32)</f>
        <v>0</v>
      </c>
      <c r="D47" s="57">
        <f t="shared" si="13"/>
        <v>0</v>
      </c>
      <c r="E47" s="57">
        <f t="shared" si="13"/>
        <v>0</v>
      </c>
      <c r="F47" s="57">
        <f t="shared" si="13"/>
        <v>0</v>
      </c>
      <c r="G47" s="57">
        <f t="shared" si="13"/>
        <v>0</v>
      </c>
      <c r="H47" s="57">
        <f t="shared" si="13"/>
        <v>0</v>
      </c>
      <c r="I47" s="57">
        <f t="shared" si="13"/>
        <v>0</v>
      </c>
      <c r="J47" s="57">
        <f t="shared" si="13"/>
        <v>0</v>
      </c>
      <c r="K47" s="57">
        <f t="shared" si="13"/>
        <v>0</v>
      </c>
      <c r="L47" s="57">
        <f t="shared" si="13"/>
        <v>0</v>
      </c>
      <c r="M47" s="57">
        <f t="shared" si="13"/>
        <v>0</v>
      </c>
      <c r="N47" s="57">
        <f t="shared" si="13"/>
        <v>0</v>
      </c>
      <c r="O47" s="57">
        <f t="shared" si="13"/>
        <v>0</v>
      </c>
      <c r="P47" s="57">
        <f t="shared" si="13"/>
        <v>0</v>
      </c>
      <c r="Q47" s="57">
        <f t="shared" si="13"/>
        <v>0</v>
      </c>
      <c r="R47" s="57">
        <f t="shared" si="13"/>
        <v>0</v>
      </c>
      <c r="S47" s="57">
        <f t="shared" si="13"/>
        <v>0</v>
      </c>
      <c r="T47" s="57">
        <f t="shared" si="13"/>
        <v>0</v>
      </c>
      <c r="U47" s="57">
        <f t="shared" si="13"/>
        <v>0</v>
      </c>
      <c r="V47" s="57">
        <f t="shared" si="13"/>
        <v>0</v>
      </c>
      <c r="W47" s="57">
        <f t="shared" si="13"/>
        <v>0</v>
      </c>
      <c r="X47" s="57">
        <f t="shared" si="13"/>
        <v>0</v>
      </c>
      <c r="Y47" s="57">
        <f t="shared" si="13"/>
        <v>0</v>
      </c>
      <c r="Z47" s="57">
        <f t="shared" si="13"/>
        <v>0</v>
      </c>
      <c r="AA47" s="57">
        <f t="shared" si="13"/>
        <v>0</v>
      </c>
      <c r="AB47" s="57">
        <f t="shared" si="13"/>
        <v>0</v>
      </c>
      <c r="AC47" s="57">
        <f t="shared" si="3"/>
        <v>0</v>
      </c>
      <c r="AD47" s="57">
        <f t="shared" si="1"/>
        <v>0</v>
      </c>
      <c r="AE47" s="1"/>
      <c r="AF47" s="1"/>
      <c r="AG47" s="1"/>
      <c r="AH47" s="1"/>
      <c r="AI47" s="1"/>
      <c r="AJ47" s="1"/>
      <c r="AK47" s="1"/>
      <c r="AL47" s="1"/>
      <c r="AM47" s="1"/>
      <c r="AN47" s="1"/>
      <c r="AO47" s="1"/>
      <c r="AP47" s="1"/>
      <c r="AQ47" s="1"/>
      <c r="AR47" s="1"/>
      <c r="AS47" s="1"/>
      <c r="AT47" s="1"/>
      <c r="AU47" s="1"/>
      <c r="AV47" s="1"/>
      <c r="AW47" s="1"/>
      <c r="AX47" s="1"/>
      <c r="AY47" s="1"/>
    </row>
    <row r="48" spans="1:51" x14ac:dyDescent="0.25">
      <c r="A48" s="56"/>
      <c r="B48" s="57">
        <f>IF($B$18=0,0,$B$18*B6+$C$18*B7+$D$18*B8+$E$18*B9+$F$18*B10+$G$18*B11+$H$18*B12+$I$18*B13+$J$18*B14+$K$18*B15+$L$18*B16+$M$18*B17+$N$18*B18+$O$18*B19+$P$18*B20+$Q$18*B21+$R$18*B22+$S$18*B23+$T$18*B24+$U$18*B25+$V$18*B26+$W$18*B27+$X$18*B28+$Y$18*B29+$Z$18*B30+$AA$18*B31+$AB$18*B32)</f>
        <v>0</v>
      </c>
      <c r="C48" s="57">
        <f t="shared" ref="C48:AB48" si="14">IF($B$18=0,0,$B$18*C6+$C$18*C7+$D$18*C8+$E$18*C9+$F$18*C10+$G$18*C11+$H$18*C12+$I$18*C13+$J$18*C14+$K$18*C15+$L$18*C16+$M$18*C17+$N$18*C18+$O$18*C19+$P$18*C20+$Q$18*C21+$R$18*C22+$S$18*C23+$T$18*C24+$U$18*C25+$V$18*C26+$W$18*C27+$X$18*C28+$Y$18*C29+$Z$18*C30+$AA$18*C31+$AB$18*C32)</f>
        <v>0</v>
      </c>
      <c r="D48" s="57">
        <f t="shared" si="14"/>
        <v>0</v>
      </c>
      <c r="E48" s="57">
        <f t="shared" si="14"/>
        <v>0</v>
      </c>
      <c r="F48" s="57">
        <f t="shared" si="14"/>
        <v>0</v>
      </c>
      <c r="G48" s="57">
        <f t="shared" si="14"/>
        <v>0</v>
      </c>
      <c r="H48" s="57">
        <f t="shared" si="14"/>
        <v>0</v>
      </c>
      <c r="I48" s="57">
        <f t="shared" si="14"/>
        <v>0</v>
      </c>
      <c r="J48" s="57">
        <f t="shared" si="14"/>
        <v>0</v>
      </c>
      <c r="K48" s="57">
        <f t="shared" si="14"/>
        <v>0</v>
      </c>
      <c r="L48" s="57">
        <f t="shared" si="14"/>
        <v>0</v>
      </c>
      <c r="M48" s="57">
        <f t="shared" si="14"/>
        <v>0</v>
      </c>
      <c r="N48" s="57">
        <f t="shared" si="14"/>
        <v>0</v>
      </c>
      <c r="O48" s="57">
        <f t="shared" si="14"/>
        <v>0</v>
      </c>
      <c r="P48" s="57">
        <f t="shared" si="14"/>
        <v>0</v>
      </c>
      <c r="Q48" s="57">
        <f t="shared" si="14"/>
        <v>0</v>
      </c>
      <c r="R48" s="57">
        <f t="shared" si="14"/>
        <v>0</v>
      </c>
      <c r="S48" s="57">
        <f t="shared" si="14"/>
        <v>0</v>
      </c>
      <c r="T48" s="57">
        <f t="shared" si="14"/>
        <v>0</v>
      </c>
      <c r="U48" s="57">
        <f t="shared" si="14"/>
        <v>0</v>
      </c>
      <c r="V48" s="57">
        <f t="shared" si="14"/>
        <v>0</v>
      </c>
      <c r="W48" s="57">
        <f t="shared" si="14"/>
        <v>0</v>
      </c>
      <c r="X48" s="57">
        <f t="shared" si="14"/>
        <v>0</v>
      </c>
      <c r="Y48" s="57">
        <f t="shared" si="14"/>
        <v>0</v>
      </c>
      <c r="Z48" s="57">
        <f t="shared" si="14"/>
        <v>0</v>
      </c>
      <c r="AA48" s="57">
        <f t="shared" si="14"/>
        <v>0</v>
      </c>
      <c r="AB48" s="57">
        <f t="shared" si="14"/>
        <v>0</v>
      </c>
      <c r="AC48" s="57">
        <f t="shared" si="3"/>
        <v>0</v>
      </c>
      <c r="AD48" s="57">
        <f t="shared" si="1"/>
        <v>0</v>
      </c>
      <c r="AE48" s="1"/>
      <c r="AF48" s="1"/>
      <c r="AG48" s="1"/>
      <c r="AH48" s="1"/>
      <c r="AI48" s="1"/>
      <c r="AJ48" s="1"/>
      <c r="AK48" s="1"/>
      <c r="AL48" s="1"/>
      <c r="AM48" s="1"/>
      <c r="AN48" s="1"/>
      <c r="AO48" s="1"/>
      <c r="AP48" s="1"/>
      <c r="AQ48" s="1"/>
      <c r="AR48" s="1"/>
      <c r="AS48" s="1"/>
      <c r="AT48" s="1"/>
      <c r="AU48" s="1"/>
      <c r="AV48" s="1"/>
      <c r="AW48" s="1"/>
      <c r="AX48" s="1"/>
      <c r="AY48" s="1"/>
    </row>
    <row r="49" spans="1:51" x14ac:dyDescent="0.25">
      <c r="A49" s="56"/>
      <c r="B49" s="57">
        <f>IF($B$19=0,0,$B$19*B6+$C$19*B7+$D$19*B8+$E$19*B9+$F$19*B10+$G$19*B11+$H$19*B12+$I$19*B13+$J$19*B14+$K$19*B15+$L$19*B16+$M$19*B17+$N$19*B18+$O$19*B19+$P$19*B20+$Q$19*B21+$R$19*B22+$S$19*B23+$T$19*B24+$U$19*B25+$V$19*B26+$W$19*B27+$X$19*B28+$Y$19*B29+$Z$19*B30+$AA$19*B31+$AB$19*B32)</f>
        <v>0</v>
      </c>
      <c r="C49" s="57">
        <f t="shared" ref="C49:AB49" si="15">IF($B$19=0,0,$B$19*C6+$C$19*C7+$D$19*C8+$E$19*C9+$F$19*C10+$G$19*C11+$H$19*C12+$I$19*C13+$J$19*C14+$K$19*C15+$L$19*C16+$M$19*C17+$N$19*C18+$O$19*C19+$P$19*C20+$Q$19*C21+$R$19*C22+$S$19*C23+$T$19*C24+$U$19*C25+$V$19*C26+$W$19*C27+$X$19*C28+$Y$19*C29+$Z$19*C30+$AA$19*C31+$AB$19*C32)</f>
        <v>0</v>
      </c>
      <c r="D49" s="57">
        <f t="shared" si="15"/>
        <v>0</v>
      </c>
      <c r="E49" s="57">
        <f t="shared" si="15"/>
        <v>0</v>
      </c>
      <c r="F49" s="57">
        <f t="shared" si="15"/>
        <v>0</v>
      </c>
      <c r="G49" s="57">
        <f t="shared" si="15"/>
        <v>0</v>
      </c>
      <c r="H49" s="57">
        <f t="shared" si="15"/>
        <v>0</v>
      </c>
      <c r="I49" s="57">
        <f t="shared" si="15"/>
        <v>0</v>
      </c>
      <c r="J49" s="57">
        <f t="shared" si="15"/>
        <v>0</v>
      </c>
      <c r="K49" s="57">
        <f t="shared" si="15"/>
        <v>0</v>
      </c>
      <c r="L49" s="57">
        <f t="shared" si="15"/>
        <v>0</v>
      </c>
      <c r="M49" s="57">
        <f t="shared" si="15"/>
        <v>0</v>
      </c>
      <c r="N49" s="57">
        <f t="shared" si="15"/>
        <v>0</v>
      </c>
      <c r="O49" s="57">
        <f t="shared" si="15"/>
        <v>0</v>
      </c>
      <c r="P49" s="57">
        <f t="shared" si="15"/>
        <v>0</v>
      </c>
      <c r="Q49" s="57">
        <f t="shared" si="15"/>
        <v>0</v>
      </c>
      <c r="R49" s="57">
        <f t="shared" si="15"/>
        <v>0</v>
      </c>
      <c r="S49" s="57">
        <f t="shared" si="15"/>
        <v>0</v>
      </c>
      <c r="T49" s="57">
        <f t="shared" si="15"/>
        <v>0</v>
      </c>
      <c r="U49" s="57">
        <f t="shared" si="15"/>
        <v>0</v>
      </c>
      <c r="V49" s="57">
        <f t="shared" si="15"/>
        <v>0</v>
      </c>
      <c r="W49" s="57">
        <f t="shared" si="15"/>
        <v>0</v>
      </c>
      <c r="X49" s="57">
        <f t="shared" si="15"/>
        <v>0</v>
      </c>
      <c r="Y49" s="57">
        <f t="shared" si="15"/>
        <v>0</v>
      </c>
      <c r="Z49" s="57">
        <f t="shared" si="15"/>
        <v>0</v>
      </c>
      <c r="AA49" s="57">
        <f t="shared" si="15"/>
        <v>0</v>
      </c>
      <c r="AB49" s="57">
        <f t="shared" si="15"/>
        <v>0</v>
      </c>
      <c r="AC49" s="57">
        <f t="shared" si="3"/>
        <v>0</v>
      </c>
      <c r="AD49" s="57">
        <f t="shared" si="1"/>
        <v>0</v>
      </c>
      <c r="AE49" s="1"/>
      <c r="AF49" s="1"/>
      <c r="AG49" s="1"/>
      <c r="AH49" s="1"/>
      <c r="AI49" s="1"/>
      <c r="AJ49" s="1"/>
      <c r="AK49" s="1"/>
      <c r="AL49" s="1"/>
      <c r="AM49" s="1"/>
      <c r="AN49" s="1"/>
      <c r="AO49" s="1"/>
      <c r="AP49" s="1"/>
      <c r="AQ49" s="1"/>
      <c r="AR49" s="1"/>
      <c r="AS49" s="1"/>
      <c r="AT49" s="1"/>
      <c r="AU49" s="1"/>
      <c r="AV49" s="1"/>
      <c r="AW49" s="1"/>
      <c r="AX49" s="1"/>
      <c r="AY49" s="1"/>
    </row>
    <row r="50" spans="1:51" x14ac:dyDescent="0.25">
      <c r="A50" s="56"/>
      <c r="B50" s="57">
        <f>IF($B$20=0,0,$B$20*B6+$C$20*B7+$D$20*B8+$E$20*B9+$F$20*B10+$G$20*B11+$H$20*B12+$I$20*B13+$J$20*B14+$K$20*B15+$L$20*B16+$M$20*B17+$N$20*B18+$O$20*B19+$P$20*B20+$Q$20*B21+$R$20*B22+$S$20*B23+$T$20*B24+$U$20*B25+$V$20*B26+$W$20*B27+$X$20*B28+$Y$20*B29+$Z$20*B30+$AA$20*B31+$AB$20*B32)</f>
        <v>0</v>
      </c>
      <c r="C50" s="57">
        <f t="shared" ref="C50:AB50" si="16">IF($B$20=0,0,$B$20*C6+$C$20*C7+$D$20*C8+$E$20*C9+$F$20*C10+$G$20*C11+$H$20*C12+$I$20*C13+$J$20*C14+$K$20*C15+$L$20*C16+$M$20*C17+$N$20*C18+$O$20*C19+$P$20*C20+$Q$20*C21+$R$20*C22+$S$20*C23+$T$20*C24+$U$20*C25+$V$20*C26+$W$20*C27+$X$20*C28+$Y$20*C29+$Z$20*C30+$AA$20*C31+$AB$20*C32)</f>
        <v>0</v>
      </c>
      <c r="D50" s="57">
        <f t="shared" si="16"/>
        <v>0</v>
      </c>
      <c r="E50" s="57">
        <f t="shared" si="16"/>
        <v>0</v>
      </c>
      <c r="F50" s="57">
        <f t="shared" si="16"/>
        <v>0</v>
      </c>
      <c r="G50" s="57">
        <f t="shared" si="16"/>
        <v>0</v>
      </c>
      <c r="H50" s="57">
        <f t="shared" si="16"/>
        <v>0</v>
      </c>
      <c r="I50" s="57">
        <f t="shared" si="16"/>
        <v>0</v>
      </c>
      <c r="J50" s="57">
        <f t="shared" si="16"/>
        <v>0</v>
      </c>
      <c r="K50" s="57">
        <f t="shared" si="16"/>
        <v>0</v>
      </c>
      <c r="L50" s="57">
        <f t="shared" si="16"/>
        <v>0</v>
      </c>
      <c r="M50" s="57">
        <f t="shared" si="16"/>
        <v>0</v>
      </c>
      <c r="N50" s="57">
        <f t="shared" si="16"/>
        <v>0</v>
      </c>
      <c r="O50" s="57">
        <f t="shared" si="16"/>
        <v>0</v>
      </c>
      <c r="P50" s="57">
        <f t="shared" si="16"/>
        <v>0</v>
      </c>
      <c r="Q50" s="57">
        <f t="shared" si="16"/>
        <v>0</v>
      </c>
      <c r="R50" s="57">
        <f t="shared" si="16"/>
        <v>0</v>
      </c>
      <c r="S50" s="57">
        <f t="shared" si="16"/>
        <v>0</v>
      </c>
      <c r="T50" s="57">
        <f t="shared" si="16"/>
        <v>0</v>
      </c>
      <c r="U50" s="57">
        <f t="shared" si="16"/>
        <v>0</v>
      </c>
      <c r="V50" s="57">
        <f t="shared" si="16"/>
        <v>0</v>
      </c>
      <c r="W50" s="57">
        <f t="shared" si="16"/>
        <v>0</v>
      </c>
      <c r="X50" s="57">
        <f t="shared" si="16"/>
        <v>0</v>
      </c>
      <c r="Y50" s="57">
        <f t="shared" si="16"/>
        <v>0</v>
      </c>
      <c r="Z50" s="57">
        <f t="shared" si="16"/>
        <v>0</v>
      </c>
      <c r="AA50" s="57">
        <f t="shared" si="16"/>
        <v>0</v>
      </c>
      <c r="AB50" s="57">
        <f t="shared" si="16"/>
        <v>0</v>
      </c>
      <c r="AC50" s="57">
        <f t="shared" si="3"/>
        <v>0</v>
      </c>
      <c r="AD50" s="57">
        <f t="shared" si="1"/>
        <v>0</v>
      </c>
      <c r="AE50" s="1"/>
      <c r="AF50" s="1"/>
      <c r="AG50" s="1"/>
      <c r="AH50" s="1"/>
      <c r="AI50" s="1"/>
      <c r="AJ50" s="1"/>
      <c r="AK50" s="1"/>
      <c r="AL50" s="1"/>
      <c r="AM50" s="1"/>
      <c r="AN50" s="1"/>
      <c r="AO50" s="1"/>
      <c r="AP50" s="1"/>
      <c r="AQ50" s="1"/>
      <c r="AR50" s="1"/>
      <c r="AS50" s="1"/>
      <c r="AT50" s="1"/>
      <c r="AU50" s="1"/>
      <c r="AV50" s="1"/>
      <c r="AW50" s="1"/>
      <c r="AX50" s="1"/>
      <c r="AY50" s="1"/>
    </row>
    <row r="51" spans="1:51" x14ac:dyDescent="0.25">
      <c r="A51" s="56"/>
      <c r="B51" s="57">
        <f>IF($B$21=0,0,$B$21*B6+$C$21*B7+$D$21*B8+$E$21*B9+$F$21*B10+$G$21*B11+$H$21*B12+$I$21*B13+$J$21*B14+$K$21*B15+$L$21*B16+$M$21*B17+$N$21*B18+$O$21*B19+$P$21*B20+$Q$21*B21+$R$21*B22+$S$21*B23+$T$21*B24+$U$21*B25+$V$21*B26+$W$21*B27+$X$21*B28+$Y$21*B29+$Z$21*B30+$AA$21*B31+$AB$21*B32)</f>
        <v>0</v>
      </c>
      <c r="C51" s="57">
        <f t="shared" ref="C51:AB51" si="17">IF($B$21=0,0,$B$21*C6+$C$21*C7+$D$21*C8+$E$21*C9+$F$21*C10+$G$21*C11+$H$21*C12+$I$21*C13+$J$21*C14+$K$21*C15+$L$21*C16+$M$21*C17+$N$21*C18+$O$21*C19+$P$21*C20+$Q$21*C21+$R$21*C22+$S$21*C23+$T$21*C24+$U$21*C25+$V$21*C26+$W$21*C27+$X$21*C28+$Y$21*C29+$Z$21*C30+$AA$21*C31+$AB$21*C32)</f>
        <v>0</v>
      </c>
      <c r="D51" s="57">
        <f t="shared" si="17"/>
        <v>0</v>
      </c>
      <c r="E51" s="57">
        <f t="shared" si="17"/>
        <v>0</v>
      </c>
      <c r="F51" s="57">
        <f t="shared" si="17"/>
        <v>0</v>
      </c>
      <c r="G51" s="57">
        <f t="shared" si="17"/>
        <v>0</v>
      </c>
      <c r="H51" s="57">
        <f t="shared" si="17"/>
        <v>0</v>
      </c>
      <c r="I51" s="57">
        <f t="shared" si="17"/>
        <v>0</v>
      </c>
      <c r="J51" s="57">
        <f t="shared" si="17"/>
        <v>0</v>
      </c>
      <c r="K51" s="57">
        <f t="shared" si="17"/>
        <v>0</v>
      </c>
      <c r="L51" s="57">
        <f t="shared" si="17"/>
        <v>0</v>
      </c>
      <c r="M51" s="57">
        <f t="shared" si="17"/>
        <v>0</v>
      </c>
      <c r="N51" s="57">
        <f t="shared" si="17"/>
        <v>0</v>
      </c>
      <c r="O51" s="57">
        <f t="shared" si="17"/>
        <v>0</v>
      </c>
      <c r="P51" s="57">
        <f t="shared" si="17"/>
        <v>0</v>
      </c>
      <c r="Q51" s="57">
        <f t="shared" si="17"/>
        <v>0</v>
      </c>
      <c r="R51" s="57">
        <f t="shared" si="17"/>
        <v>0</v>
      </c>
      <c r="S51" s="57">
        <f t="shared" si="17"/>
        <v>0</v>
      </c>
      <c r="T51" s="57">
        <f t="shared" si="17"/>
        <v>0</v>
      </c>
      <c r="U51" s="57">
        <f t="shared" si="17"/>
        <v>0</v>
      </c>
      <c r="V51" s="57">
        <f t="shared" si="17"/>
        <v>0</v>
      </c>
      <c r="W51" s="57">
        <f t="shared" si="17"/>
        <v>0</v>
      </c>
      <c r="X51" s="57">
        <f t="shared" si="17"/>
        <v>0</v>
      </c>
      <c r="Y51" s="57">
        <f t="shared" si="17"/>
        <v>0</v>
      </c>
      <c r="Z51" s="57">
        <f t="shared" si="17"/>
        <v>0</v>
      </c>
      <c r="AA51" s="57">
        <f t="shared" si="17"/>
        <v>0</v>
      </c>
      <c r="AB51" s="57">
        <f t="shared" si="17"/>
        <v>0</v>
      </c>
      <c r="AC51" s="57">
        <f t="shared" si="3"/>
        <v>0</v>
      </c>
      <c r="AD51" s="57">
        <f t="shared" si="1"/>
        <v>0</v>
      </c>
      <c r="AE51" s="1"/>
      <c r="AF51" s="1"/>
      <c r="AG51" s="1"/>
      <c r="AH51" s="1"/>
      <c r="AI51" s="1"/>
      <c r="AJ51" s="1"/>
      <c r="AK51" s="1"/>
      <c r="AL51" s="1"/>
      <c r="AM51" s="1"/>
      <c r="AN51" s="1"/>
      <c r="AO51" s="1"/>
      <c r="AP51" s="1"/>
      <c r="AQ51" s="1"/>
      <c r="AR51" s="1"/>
      <c r="AS51" s="1"/>
      <c r="AT51" s="1"/>
      <c r="AU51" s="1"/>
      <c r="AV51" s="1"/>
      <c r="AW51" s="1"/>
      <c r="AX51" s="1"/>
      <c r="AY51" s="1"/>
    </row>
    <row r="52" spans="1:51" x14ac:dyDescent="0.25">
      <c r="A52" s="56"/>
      <c r="B52" s="57">
        <f>IF($B$22=0,0,$B$22*B6+$C$22*B7+$D$22*B8+$E$22*B9+$F$22*B10+$G$22*B11+$H$22*B12+$I$22*B13+$J$22*B14+$K$22*B15+$L$22*B16+$M$22*B17+$N$22*B18+$O$22*B19+$P$22*B20+$Q$22*B21+$R$22*B22+$S$22*B23+$T$22*B24+$U$22*B25+$V$22*B26+$W$22*B27+$X$22*B28+$Y$22*B29+$Z$22*B30+$AA$22*B31+$AB$22*B32)</f>
        <v>0</v>
      </c>
      <c r="C52" s="57">
        <f t="shared" ref="C52:AB52" si="18">IF($B$22=0,0,$B$22*C6+$C$22*C7+$D$22*C8+$E$22*C9+$F$22*C10+$G$22*C11+$H$22*C12+$I$22*C13+$J$22*C14+$K$22*C15+$L$22*C16+$M$22*C17+$N$22*C18+$O$22*C19+$P$22*C20+$Q$22*C21+$R$22*C22+$S$22*C23+$T$22*C24+$U$22*C25+$V$22*C26+$W$22*C27+$X$22*C28+$Y$22*C29+$Z$22*C30+$AA$22*C31+$AB$22*C32)</f>
        <v>0</v>
      </c>
      <c r="D52" s="57">
        <f t="shared" si="18"/>
        <v>0</v>
      </c>
      <c r="E52" s="57">
        <f t="shared" si="18"/>
        <v>0</v>
      </c>
      <c r="F52" s="57">
        <f t="shared" si="18"/>
        <v>0</v>
      </c>
      <c r="G52" s="57">
        <f t="shared" si="18"/>
        <v>0</v>
      </c>
      <c r="H52" s="57">
        <f t="shared" si="18"/>
        <v>0</v>
      </c>
      <c r="I52" s="57">
        <f t="shared" si="18"/>
        <v>0</v>
      </c>
      <c r="J52" s="57">
        <f t="shared" si="18"/>
        <v>0</v>
      </c>
      <c r="K52" s="57">
        <f t="shared" si="18"/>
        <v>0</v>
      </c>
      <c r="L52" s="57">
        <f t="shared" si="18"/>
        <v>0</v>
      </c>
      <c r="M52" s="57">
        <f t="shared" si="18"/>
        <v>0</v>
      </c>
      <c r="N52" s="57">
        <f t="shared" si="18"/>
        <v>0</v>
      </c>
      <c r="O52" s="57">
        <f t="shared" si="18"/>
        <v>0</v>
      </c>
      <c r="P52" s="57">
        <f t="shared" si="18"/>
        <v>0</v>
      </c>
      <c r="Q52" s="57">
        <f t="shared" si="18"/>
        <v>0</v>
      </c>
      <c r="R52" s="57">
        <f t="shared" si="18"/>
        <v>0</v>
      </c>
      <c r="S52" s="57">
        <f t="shared" si="18"/>
        <v>0</v>
      </c>
      <c r="T52" s="57">
        <f t="shared" si="18"/>
        <v>0</v>
      </c>
      <c r="U52" s="57">
        <f t="shared" si="18"/>
        <v>0</v>
      </c>
      <c r="V52" s="57">
        <f t="shared" si="18"/>
        <v>0</v>
      </c>
      <c r="W52" s="57">
        <f t="shared" si="18"/>
        <v>0</v>
      </c>
      <c r="X52" s="57">
        <f t="shared" si="18"/>
        <v>0</v>
      </c>
      <c r="Y52" s="57">
        <f t="shared" si="18"/>
        <v>0</v>
      </c>
      <c r="Z52" s="57">
        <f t="shared" si="18"/>
        <v>0</v>
      </c>
      <c r="AA52" s="57">
        <f t="shared" si="18"/>
        <v>0</v>
      </c>
      <c r="AB52" s="57">
        <f t="shared" si="18"/>
        <v>0</v>
      </c>
      <c r="AC52" s="57">
        <f t="shared" si="3"/>
        <v>0</v>
      </c>
      <c r="AD52" s="57">
        <f t="shared" si="1"/>
        <v>0</v>
      </c>
      <c r="AE52" s="1"/>
      <c r="AF52" s="1"/>
      <c r="AG52" s="1"/>
      <c r="AH52" s="1"/>
      <c r="AI52" s="1"/>
      <c r="AJ52" s="1"/>
      <c r="AK52" s="1"/>
      <c r="AL52" s="1"/>
      <c r="AM52" s="1"/>
      <c r="AN52" s="1"/>
      <c r="AO52" s="1"/>
      <c r="AP52" s="1"/>
      <c r="AQ52" s="1"/>
      <c r="AR52" s="1"/>
      <c r="AS52" s="1"/>
      <c r="AT52" s="1"/>
      <c r="AU52" s="1"/>
      <c r="AV52" s="1"/>
      <c r="AW52" s="1"/>
      <c r="AX52" s="1"/>
      <c r="AY52" s="1"/>
    </row>
    <row r="53" spans="1:51" x14ac:dyDescent="0.25">
      <c r="A53" s="56"/>
      <c r="B53" s="57">
        <f>IF($B$23=0,0,$B$23*B6+$C$23*B7+$D$23*B8+$E$23*B9+$F$23*B10+$G$23*B11+$H$23*B12+$I$23*B13+$J$23*B14+$K$23*B15+$L$23*B16+$M$23*B17+$N$23*B18+$O$23*B19+$P$23*B20+$Q$23*B21+$R$23*B22+$S$23*B23+$T$23*B24+$U$23*B25+$V$23*B26+$W$23*B27+$X$23*B28+$Y$23*B29+$Z$23*B30+$AA$23*B31+$AB$23*B32)</f>
        <v>0</v>
      </c>
      <c r="C53" s="57">
        <f t="shared" ref="C53:AB53" si="19">IF($B$23=0,0,$B$23*C6+$C$23*C7+$D$23*C8+$E$23*C9+$F$23*C10+$G$23*C11+$H$23*C12+$I$23*C13+$J$23*C14+$K$23*C15+$L$23*C16+$M$23*C17+$N$23*C18+$O$23*C19+$P$23*C20+$Q$23*C21+$R$23*C22+$S$23*C23+$T$23*C24+$U$23*C25+$V$23*C26+$W$23*C27+$X$23*C28+$Y$23*C29+$Z$23*C30+$AA$23*C31+$AB$23*C32)</f>
        <v>0</v>
      </c>
      <c r="D53" s="57">
        <f t="shared" si="19"/>
        <v>0</v>
      </c>
      <c r="E53" s="57">
        <f t="shared" si="19"/>
        <v>0</v>
      </c>
      <c r="F53" s="57">
        <f t="shared" si="19"/>
        <v>0</v>
      </c>
      <c r="G53" s="57">
        <f t="shared" si="19"/>
        <v>0</v>
      </c>
      <c r="H53" s="57">
        <f t="shared" si="19"/>
        <v>0</v>
      </c>
      <c r="I53" s="57">
        <f t="shared" si="19"/>
        <v>0</v>
      </c>
      <c r="J53" s="57">
        <f t="shared" si="19"/>
        <v>0</v>
      </c>
      <c r="K53" s="57">
        <f t="shared" si="19"/>
        <v>0</v>
      </c>
      <c r="L53" s="57">
        <f t="shared" si="19"/>
        <v>0</v>
      </c>
      <c r="M53" s="57">
        <f t="shared" si="19"/>
        <v>0</v>
      </c>
      <c r="N53" s="57">
        <f t="shared" si="19"/>
        <v>0</v>
      </c>
      <c r="O53" s="57">
        <f t="shared" si="19"/>
        <v>0</v>
      </c>
      <c r="P53" s="57">
        <f t="shared" si="19"/>
        <v>0</v>
      </c>
      <c r="Q53" s="57">
        <f t="shared" si="19"/>
        <v>0</v>
      </c>
      <c r="R53" s="57">
        <f t="shared" si="19"/>
        <v>0</v>
      </c>
      <c r="S53" s="57">
        <f t="shared" si="19"/>
        <v>0</v>
      </c>
      <c r="T53" s="57">
        <f t="shared" si="19"/>
        <v>0</v>
      </c>
      <c r="U53" s="57">
        <f t="shared" si="19"/>
        <v>0</v>
      </c>
      <c r="V53" s="57">
        <f t="shared" si="19"/>
        <v>0</v>
      </c>
      <c r="W53" s="57">
        <f t="shared" si="19"/>
        <v>0</v>
      </c>
      <c r="X53" s="57">
        <f t="shared" si="19"/>
        <v>0</v>
      </c>
      <c r="Y53" s="57">
        <f t="shared" si="19"/>
        <v>0</v>
      </c>
      <c r="Z53" s="57">
        <f t="shared" si="19"/>
        <v>0</v>
      </c>
      <c r="AA53" s="57">
        <f t="shared" si="19"/>
        <v>0</v>
      </c>
      <c r="AB53" s="57">
        <f t="shared" si="19"/>
        <v>0</v>
      </c>
      <c r="AC53" s="57">
        <f t="shared" si="3"/>
        <v>0</v>
      </c>
      <c r="AD53" s="57">
        <f t="shared" si="1"/>
        <v>0</v>
      </c>
      <c r="AE53" s="1"/>
      <c r="AF53" s="1"/>
      <c r="AG53" s="1"/>
      <c r="AH53" s="1"/>
      <c r="AI53" s="1"/>
      <c r="AJ53" s="1"/>
      <c r="AK53" s="1"/>
      <c r="AL53" s="1"/>
      <c r="AM53" s="1"/>
      <c r="AN53" s="1"/>
      <c r="AO53" s="1"/>
      <c r="AP53" s="1"/>
      <c r="AQ53" s="1"/>
      <c r="AR53" s="1"/>
      <c r="AS53" s="1"/>
      <c r="AT53" s="1"/>
      <c r="AU53" s="1"/>
      <c r="AV53" s="1"/>
      <c r="AW53" s="1"/>
      <c r="AX53" s="1"/>
      <c r="AY53" s="1"/>
    </row>
    <row r="54" spans="1:51" x14ac:dyDescent="0.25">
      <c r="A54" s="56"/>
      <c r="B54" s="57">
        <f>IF($B$24=0,0,$B$24*B6+$C$24*B7+$D$24*B8+$E$24*B9+$F$24*B10+$G$24*B11+$H$24*B12+$I$24*B13+$J$24*B14+$K$24*B15+$L$24*B16+$M$24*B17+$N$24*B18+$O$24*B19+$P$24*B20+$Q$24*B21+$R$24*B22+$S$24*B23+$T$24*B24+$U$24*B25+$V$24*B26+$W$24*B27+$X$24*B28+$Y$24*B29+$Z$24*B30+$AA$24*B31+$AB$24*B32)</f>
        <v>0</v>
      </c>
      <c r="C54" s="57">
        <f t="shared" ref="C54:AB54" si="20">IF($B$24=0,0,$B$24*C6+$C$24*C7+$D$24*C8+$E$24*C9+$F$24*C10+$G$24*C11+$H$24*C12+$I$24*C13+$J$24*C14+$K$24*C15+$L$24*C16+$M$24*C17+$N$24*C18+$O$24*C19+$P$24*C20+$Q$24*C21+$R$24*C22+$S$24*C23+$T$24*C24+$U$24*C25+$V$24*C26+$W$24*C27+$X$24*C28+$Y$24*C29+$Z$24*C30+$AA$24*C31+$AB$24*C32)</f>
        <v>0</v>
      </c>
      <c r="D54" s="57">
        <f t="shared" si="20"/>
        <v>0</v>
      </c>
      <c r="E54" s="57">
        <f t="shared" si="20"/>
        <v>0</v>
      </c>
      <c r="F54" s="57">
        <f t="shared" si="20"/>
        <v>0</v>
      </c>
      <c r="G54" s="57">
        <f t="shared" si="20"/>
        <v>0</v>
      </c>
      <c r="H54" s="57">
        <f t="shared" si="20"/>
        <v>0</v>
      </c>
      <c r="I54" s="57">
        <f t="shared" si="20"/>
        <v>0</v>
      </c>
      <c r="J54" s="57">
        <f t="shared" si="20"/>
        <v>0</v>
      </c>
      <c r="K54" s="57">
        <f t="shared" si="20"/>
        <v>0</v>
      </c>
      <c r="L54" s="57">
        <f t="shared" si="20"/>
        <v>0</v>
      </c>
      <c r="M54" s="57">
        <f t="shared" si="20"/>
        <v>0</v>
      </c>
      <c r="N54" s="57">
        <f t="shared" si="20"/>
        <v>0</v>
      </c>
      <c r="O54" s="57">
        <f t="shared" si="20"/>
        <v>0</v>
      </c>
      <c r="P54" s="57">
        <f t="shared" si="20"/>
        <v>0</v>
      </c>
      <c r="Q54" s="57">
        <f t="shared" si="20"/>
        <v>0</v>
      </c>
      <c r="R54" s="57">
        <f t="shared" si="20"/>
        <v>0</v>
      </c>
      <c r="S54" s="57">
        <f t="shared" si="20"/>
        <v>0</v>
      </c>
      <c r="T54" s="57">
        <f t="shared" si="20"/>
        <v>0</v>
      </c>
      <c r="U54" s="57">
        <f t="shared" si="20"/>
        <v>0</v>
      </c>
      <c r="V54" s="57">
        <f t="shared" si="20"/>
        <v>0</v>
      </c>
      <c r="W54" s="57">
        <f t="shared" si="20"/>
        <v>0</v>
      </c>
      <c r="X54" s="57">
        <f t="shared" si="20"/>
        <v>0</v>
      </c>
      <c r="Y54" s="57">
        <f t="shared" si="20"/>
        <v>0</v>
      </c>
      <c r="Z54" s="57">
        <f t="shared" si="20"/>
        <v>0</v>
      </c>
      <c r="AA54" s="57">
        <f t="shared" si="20"/>
        <v>0</v>
      </c>
      <c r="AB54" s="57">
        <f t="shared" si="20"/>
        <v>0</v>
      </c>
      <c r="AC54" s="57">
        <f t="shared" si="3"/>
        <v>0</v>
      </c>
      <c r="AD54" s="57">
        <f t="shared" si="1"/>
        <v>0</v>
      </c>
      <c r="AE54" s="1"/>
      <c r="AF54" s="1"/>
      <c r="AG54" s="1"/>
      <c r="AH54" s="1"/>
      <c r="AI54" s="1"/>
      <c r="AJ54" s="1"/>
      <c r="AK54" s="1"/>
      <c r="AL54" s="1"/>
      <c r="AM54" s="1"/>
      <c r="AN54" s="1"/>
      <c r="AO54" s="1"/>
      <c r="AP54" s="1"/>
      <c r="AQ54" s="1"/>
      <c r="AR54" s="1"/>
      <c r="AS54" s="1"/>
      <c r="AT54" s="1"/>
      <c r="AU54" s="1"/>
      <c r="AV54" s="1"/>
      <c r="AW54" s="1"/>
      <c r="AX54" s="1"/>
      <c r="AY54" s="1"/>
    </row>
    <row r="55" spans="1:51" x14ac:dyDescent="0.25">
      <c r="A55" s="56"/>
      <c r="B55" s="57">
        <f>IF($B$25=0,0,$B$25*B6+$C$25*B7+$D$25*B8+$E$25*B9+$F$25*B10+$G$25*B11+$H$25*B12+$I$25*B13+$J$25*B14+$K$25*B15+$L$25*B16+$M$25*B17+$N$25*B18+$O$25*B19+$P$25*B20+$Q$25*B21+$R$25*B22+$S$25*B23+$T$25*B24+$U$25*B25+$V$25*B26+$W$25*B27+$X$25*B28+$Y$25*B29+$Z$25*B30+$AA$25*B31+$AB$25*B32)</f>
        <v>0</v>
      </c>
      <c r="C55" s="57">
        <f t="shared" ref="C55:AB55" si="21">IF($B$25=0,0,$B$25*C6+$C$25*C7+$D$25*C8+$E$25*C9+$F$25*C10+$G$25*C11+$H$25*C12+$I$25*C13+$J$25*C14+$K$25*C15+$L$25*C16+$M$25*C17+$N$25*C18+$O$25*C19+$P$25*C20+$Q$25*C21+$R$25*C22+$S$25*C23+$T$25*C24+$U$25*C25+$V$25*C26+$W$25*C27+$X$25*C28+$Y$25*C29+$Z$25*C30+$AA$25*C31+$AB$25*C32)</f>
        <v>0</v>
      </c>
      <c r="D55" s="57">
        <f t="shared" si="21"/>
        <v>0</v>
      </c>
      <c r="E55" s="57">
        <f t="shared" si="21"/>
        <v>0</v>
      </c>
      <c r="F55" s="57">
        <f t="shared" si="21"/>
        <v>0</v>
      </c>
      <c r="G55" s="57">
        <f t="shared" si="21"/>
        <v>0</v>
      </c>
      <c r="H55" s="57">
        <f t="shared" si="21"/>
        <v>0</v>
      </c>
      <c r="I55" s="57">
        <f t="shared" si="21"/>
        <v>0</v>
      </c>
      <c r="J55" s="57">
        <f t="shared" si="21"/>
        <v>0</v>
      </c>
      <c r="K55" s="57">
        <f t="shared" si="21"/>
        <v>0</v>
      </c>
      <c r="L55" s="57">
        <f t="shared" si="21"/>
        <v>0</v>
      </c>
      <c r="M55" s="57">
        <f t="shared" si="21"/>
        <v>0</v>
      </c>
      <c r="N55" s="57">
        <f t="shared" si="21"/>
        <v>0</v>
      </c>
      <c r="O55" s="57">
        <f t="shared" si="21"/>
        <v>0</v>
      </c>
      <c r="P55" s="57">
        <f t="shared" si="21"/>
        <v>0</v>
      </c>
      <c r="Q55" s="57">
        <f t="shared" si="21"/>
        <v>0</v>
      </c>
      <c r="R55" s="57">
        <f t="shared" si="21"/>
        <v>0</v>
      </c>
      <c r="S55" s="57">
        <f t="shared" si="21"/>
        <v>0</v>
      </c>
      <c r="T55" s="57">
        <f t="shared" si="21"/>
        <v>0</v>
      </c>
      <c r="U55" s="57">
        <f t="shared" si="21"/>
        <v>0</v>
      </c>
      <c r="V55" s="57">
        <f t="shared" si="21"/>
        <v>0</v>
      </c>
      <c r="W55" s="57">
        <f t="shared" si="21"/>
        <v>0</v>
      </c>
      <c r="X55" s="57">
        <f t="shared" si="21"/>
        <v>0</v>
      </c>
      <c r="Y55" s="57">
        <f t="shared" si="21"/>
        <v>0</v>
      </c>
      <c r="Z55" s="57">
        <f t="shared" si="21"/>
        <v>0</v>
      </c>
      <c r="AA55" s="57">
        <f t="shared" si="21"/>
        <v>0</v>
      </c>
      <c r="AB55" s="57">
        <f t="shared" si="21"/>
        <v>0</v>
      </c>
      <c r="AC55" s="57">
        <f t="shared" si="3"/>
        <v>0</v>
      </c>
      <c r="AD55" s="57">
        <f t="shared" si="1"/>
        <v>0</v>
      </c>
      <c r="AE55" s="1"/>
      <c r="AF55" s="1"/>
      <c r="AG55" s="1"/>
      <c r="AH55" s="1"/>
      <c r="AI55" s="1"/>
      <c r="AJ55" s="1"/>
      <c r="AK55" s="1"/>
      <c r="AL55" s="1"/>
      <c r="AM55" s="1"/>
      <c r="AN55" s="1"/>
      <c r="AO55" s="1"/>
      <c r="AP55" s="1"/>
      <c r="AQ55" s="1"/>
      <c r="AR55" s="1"/>
      <c r="AS55" s="1"/>
      <c r="AT55" s="1"/>
      <c r="AU55" s="1"/>
      <c r="AV55" s="1"/>
      <c r="AW55" s="1"/>
      <c r="AX55" s="1"/>
      <c r="AY55" s="1"/>
    </row>
    <row r="56" spans="1:51" x14ac:dyDescent="0.25">
      <c r="A56" s="56"/>
      <c r="B56" s="57">
        <f>IF($B$26=0,0,$B$26*B6+$C$26*B7+$D$26*B8+$E$26*B9+$F$26*B10+$G$26*B11+$H$26*B12+$I$26*B13+$J$26*B14+$K$26*B15+$L$26*B16+$M$26*B17+$N$26*B18+$O$26*B19+$P$26*B20+$Q$26*B21+$R$26*B22+$S$26*B23+$T$26*B24+$U$26*B25+$V$26*B26+$W$26*B27+$X$26*B28+$Y$26*B29+$Z$26*B30+$AA$26*B31+$AB$26*B32)</f>
        <v>0</v>
      </c>
      <c r="C56" s="57">
        <f t="shared" ref="C56:AB56" si="22">IF($B$26=0,0,$B$26*C6+$C$26*C7+$D$26*C8+$E$26*C9+$F$26*C10+$G$26*C11+$H$26*C12+$I$26*C13+$J$26*C14+$K$26*C15+$L$26*C16+$M$26*C17+$N$26*C18+$O$26*C19+$P$26*C20+$Q$26*C21+$R$26*C22+$S$26*C23+$T$26*C24+$U$26*C25+$V$26*C26+$W$26*C27+$X$26*C28+$Y$26*C29+$Z$26*C30+$AA$26*C31+$AB$26*C32)</f>
        <v>0</v>
      </c>
      <c r="D56" s="57">
        <f t="shared" si="22"/>
        <v>0</v>
      </c>
      <c r="E56" s="57">
        <f t="shared" si="22"/>
        <v>0</v>
      </c>
      <c r="F56" s="57">
        <f t="shared" si="22"/>
        <v>0</v>
      </c>
      <c r="G56" s="57">
        <f t="shared" si="22"/>
        <v>0</v>
      </c>
      <c r="H56" s="57">
        <f t="shared" si="22"/>
        <v>0</v>
      </c>
      <c r="I56" s="57">
        <f t="shared" si="22"/>
        <v>0</v>
      </c>
      <c r="J56" s="57">
        <f t="shared" si="22"/>
        <v>0</v>
      </c>
      <c r="K56" s="57">
        <f t="shared" si="22"/>
        <v>0</v>
      </c>
      <c r="L56" s="57">
        <f t="shared" si="22"/>
        <v>0</v>
      </c>
      <c r="M56" s="57">
        <f t="shared" si="22"/>
        <v>0</v>
      </c>
      <c r="N56" s="57">
        <f t="shared" si="22"/>
        <v>0</v>
      </c>
      <c r="O56" s="57">
        <f t="shared" si="22"/>
        <v>0</v>
      </c>
      <c r="P56" s="57">
        <f t="shared" si="22"/>
        <v>0</v>
      </c>
      <c r="Q56" s="57">
        <f t="shared" si="22"/>
        <v>0</v>
      </c>
      <c r="R56" s="57">
        <f t="shared" si="22"/>
        <v>0</v>
      </c>
      <c r="S56" s="57">
        <f t="shared" si="22"/>
        <v>0</v>
      </c>
      <c r="T56" s="57">
        <f t="shared" si="22"/>
        <v>0</v>
      </c>
      <c r="U56" s="57">
        <f t="shared" si="22"/>
        <v>0</v>
      </c>
      <c r="V56" s="57">
        <f t="shared" si="22"/>
        <v>0</v>
      </c>
      <c r="W56" s="57">
        <f t="shared" si="22"/>
        <v>0</v>
      </c>
      <c r="X56" s="57">
        <f t="shared" si="22"/>
        <v>0</v>
      </c>
      <c r="Y56" s="57">
        <f t="shared" si="22"/>
        <v>0</v>
      </c>
      <c r="Z56" s="57">
        <f t="shared" si="22"/>
        <v>0</v>
      </c>
      <c r="AA56" s="57">
        <f t="shared" si="22"/>
        <v>0</v>
      </c>
      <c r="AB56" s="57">
        <f t="shared" si="22"/>
        <v>0</v>
      </c>
      <c r="AC56" s="57">
        <f t="shared" si="3"/>
        <v>0</v>
      </c>
      <c r="AD56" s="57">
        <f t="shared" si="1"/>
        <v>0</v>
      </c>
      <c r="AE56" s="1"/>
      <c r="AF56" s="1"/>
      <c r="AG56" s="1"/>
      <c r="AH56" s="1"/>
      <c r="AI56" s="1"/>
      <c r="AJ56" s="1"/>
      <c r="AK56" s="1"/>
      <c r="AL56" s="1"/>
      <c r="AM56" s="1"/>
      <c r="AN56" s="1"/>
      <c r="AO56" s="1"/>
      <c r="AP56" s="1"/>
      <c r="AQ56" s="1"/>
      <c r="AR56" s="1"/>
      <c r="AS56" s="1"/>
      <c r="AT56" s="1"/>
      <c r="AU56" s="1"/>
      <c r="AV56" s="1"/>
      <c r="AW56" s="1"/>
      <c r="AX56" s="1"/>
      <c r="AY56" s="1"/>
    </row>
    <row r="57" spans="1:51" x14ac:dyDescent="0.25">
      <c r="A57" s="56"/>
      <c r="B57" s="57">
        <f>IF($B$27=0,0,$B$27*B6+$C$27*B7+$D$27*B8+$E$27*B9+$F$27*B10+$G$27*B11+$H$27*B12+$I$27*B13+$J$27*B14+$K$27*B15+$L$27*B16+$M$27*B17+$N$27*B18+$O$27*B19+$P$27*B20+$Q$27*B21+$R$27*B22+$S$27*B23+$T$27*B24+$U$27*B25+$V$27*B26+$W$27*B27+$X$27*B28+$Y$27*B29+$Z$27*B30+$AA$27*B31+$AB$27*B32)</f>
        <v>0</v>
      </c>
      <c r="C57" s="57">
        <f t="shared" ref="C57:AB57" si="23">IF($B$27=0,0,$B$27*C6+$C$27*C7+$D$27*C8+$E$27*C9+$F$27*C10+$G$27*C11+$H$27*C12+$I$27*C13+$J$27*C14+$K$27*C15+$L$27*C16+$M$27*C17+$N$27*C18+$O$27*C19+$P$27*C20+$Q$27*C21+$R$27*C22+$S$27*C23+$T$27*C24+$U$27*C25+$V$27*C26+$W$27*C27+$X$27*C28+$Y$27*C29+$Z$27*C30+$AA$27*C31+$AB$27*C32)</f>
        <v>0</v>
      </c>
      <c r="D57" s="57">
        <f t="shared" si="23"/>
        <v>0</v>
      </c>
      <c r="E57" s="57">
        <f t="shared" si="23"/>
        <v>0</v>
      </c>
      <c r="F57" s="57">
        <f t="shared" si="23"/>
        <v>0</v>
      </c>
      <c r="G57" s="57">
        <f t="shared" si="23"/>
        <v>0</v>
      </c>
      <c r="H57" s="57">
        <f t="shared" si="23"/>
        <v>0</v>
      </c>
      <c r="I57" s="57">
        <f t="shared" si="23"/>
        <v>0</v>
      </c>
      <c r="J57" s="57">
        <f t="shared" si="23"/>
        <v>0</v>
      </c>
      <c r="K57" s="57">
        <f t="shared" si="23"/>
        <v>0</v>
      </c>
      <c r="L57" s="57">
        <f t="shared" si="23"/>
        <v>0</v>
      </c>
      <c r="M57" s="57">
        <f t="shared" si="23"/>
        <v>0</v>
      </c>
      <c r="N57" s="57">
        <f t="shared" si="23"/>
        <v>0</v>
      </c>
      <c r="O57" s="57">
        <f t="shared" si="23"/>
        <v>0</v>
      </c>
      <c r="P57" s="57">
        <f t="shared" si="23"/>
        <v>0</v>
      </c>
      <c r="Q57" s="57">
        <f t="shared" si="23"/>
        <v>0</v>
      </c>
      <c r="R57" s="57">
        <f t="shared" si="23"/>
        <v>0</v>
      </c>
      <c r="S57" s="57">
        <f t="shared" si="23"/>
        <v>0</v>
      </c>
      <c r="T57" s="57">
        <f t="shared" si="23"/>
        <v>0</v>
      </c>
      <c r="U57" s="57">
        <f t="shared" si="23"/>
        <v>0</v>
      </c>
      <c r="V57" s="57">
        <f t="shared" si="23"/>
        <v>0</v>
      </c>
      <c r="W57" s="57">
        <f t="shared" si="23"/>
        <v>0</v>
      </c>
      <c r="X57" s="57">
        <f t="shared" si="23"/>
        <v>0</v>
      </c>
      <c r="Y57" s="57">
        <f t="shared" si="23"/>
        <v>0</v>
      </c>
      <c r="Z57" s="57">
        <f t="shared" si="23"/>
        <v>0</v>
      </c>
      <c r="AA57" s="57">
        <f t="shared" si="23"/>
        <v>0</v>
      </c>
      <c r="AB57" s="57">
        <f t="shared" si="23"/>
        <v>0</v>
      </c>
      <c r="AC57" s="57">
        <f t="shared" si="3"/>
        <v>0</v>
      </c>
      <c r="AD57" s="57">
        <f t="shared" si="1"/>
        <v>0</v>
      </c>
      <c r="AE57" s="1"/>
      <c r="AF57" s="1"/>
      <c r="AG57" s="1"/>
      <c r="AH57" s="1"/>
      <c r="AI57" s="1"/>
      <c r="AJ57" s="1"/>
      <c r="AK57" s="1"/>
      <c r="AL57" s="1"/>
      <c r="AM57" s="1"/>
      <c r="AN57" s="1"/>
      <c r="AO57" s="1"/>
      <c r="AP57" s="1"/>
      <c r="AQ57" s="1"/>
      <c r="AR57" s="1"/>
      <c r="AS57" s="1"/>
      <c r="AT57" s="1"/>
      <c r="AU57" s="1"/>
      <c r="AV57" s="1"/>
      <c r="AW57" s="1"/>
      <c r="AX57" s="1"/>
      <c r="AY57" s="1"/>
    </row>
    <row r="58" spans="1:51" x14ac:dyDescent="0.25">
      <c r="A58" s="56"/>
      <c r="B58" s="57">
        <f>IF($B$28=0,0,$B$28*B6+$C$28*B7+$D$28*B8+$E$28*B9+$F$28*B10+$G$28*B11+$H$28*B12+$I$28*B13+$J$28*B14+$K$28*B15+$L$28*B16+$M$28*B17+$N$28*B18+$O$28*B19+$P$28*B20+$Q$28*B21+$R$28*B22+$S$28*B23+$T$28*B24+$U$28*B25+$V$28*B26+$W$28*B27+$X$28*B28+$Y$28*B29+$Z$28*B30+$AA$28*B31+$AB$28*B32)</f>
        <v>0</v>
      </c>
      <c r="C58" s="57">
        <f t="shared" ref="C58:AB58" si="24">IF($B$28=0,0,$B$28*C6+$C$28*C7+$D$28*C8+$E$28*C9+$F$28*C10+$G$28*C11+$H$28*C12+$I$28*C13+$J$28*C14+$K$28*C15+$L$28*C16+$M$28*C17+$N$28*C18+$O$28*C19+$P$28*C20+$Q$28*C21+$R$28*C22+$S$28*C23+$T$28*C24+$U$28*C25+$V$28*C26+$W$28*C27+$X$28*C28+$Y$28*C29+$Z$28*C30+$AA$28*C31+$AB$28*C32)</f>
        <v>0</v>
      </c>
      <c r="D58" s="57">
        <f t="shared" si="24"/>
        <v>0</v>
      </c>
      <c r="E58" s="57">
        <f t="shared" si="24"/>
        <v>0</v>
      </c>
      <c r="F58" s="57">
        <f t="shared" si="24"/>
        <v>0</v>
      </c>
      <c r="G58" s="57">
        <f t="shared" si="24"/>
        <v>0</v>
      </c>
      <c r="H58" s="57">
        <f t="shared" si="24"/>
        <v>0</v>
      </c>
      <c r="I58" s="57">
        <f t="shared" si="24"/>
        <v>0</v>
      </c>
      <c r="J58" s="57">
        <f t="shared" si="24"/>
        <v>0</v>
      </c>
      <c r="K58" s="57">
        <f t="shared" si="24"/>
        <v>0</v>
      </c>
      <c r="L58" s="57">
        <f t="shared" si="24"/>
        <v>0</v>
      </c>
      <c r="M58" s="57">
        <f t="shared" si="24"/>
        <v>0</v>
      </c>
      <c r="N58" s="57">
        <f t="shared" si="24"/>
        <v>0</v>
      </c>
      <c r="O58" s="57">
        <f t="shared" si="24"/>
        <v>0</v>
      </c>
      <c r="P58" s="57">
        <f t="shared" si="24"/>
        <v>0</v>
      </c>
      <c r="Q58" s="57">
        <f t="shared" si="24"/>
        <v>0</v>
      </c>
      <c r="R58" s="57">
        <f t="shared" si="24"/>
        <v>0</v>
      </c>
      <c r="S58" s="57">
        <f>IF($B$28=0,0,$B$28*S6+$C$28*S7+$D$28*S8+$E$28*S9+$F$28*S10+$G$28*S11+$H$28*S12+$I$28*S13+$J$28*S14+$K$28*S15+$L$28*S16+$M$28*S17+$N$28*S18+$O$28*S19+$P$28*S20+$Q$28*S21+$R$28*S22+$S$28*S23+$T$28*S24+$U$28*S25+$V$28*S26+$W$28*S27+$X$28*S28+$Y$28*S29+$Z$28*S30+$AA$28*S31+$AB$28*S32)</f>
        <v>0</v>
      </c>
      <c r="T58" s="57">
        <f t="shared" si="24"/>
        <v>0</v>
      </c>
      <c r="U58" s="57">
        <f t="shared" si="24"/>
        <v>0</v>
      </c>
      <c r="V58" s="57">
        <f t="shared" si="24"/>
        <v>0</v>
      </c>
      <c r="W58" s="57">
        <f t="shared" si="24"/>
        <v>0</v>
      </c>
      <c r="X58" s="57">
        <f t="shared" si="24"/>
        <v>0</v>
      </c>
      <c r="Y58" s="57">
        <f t="shared" si="24"/>
        <v>0</v>
      </c>
      <c r="Z58" s="57">
        <f t="shared" si="24"/>
        <v>0</v>
      </c>
      <c r="AA58" s="57">
        <f t="shared" si="24"/>
        <v>0</v>
      </c>
      <c r="AB58" s="57">
        <f t="shared" si="24"/>
        <v>0</v>
      </c>
      <c r="AC58" s="57">
        <f t="shared" si="3"/>
        <v>0</v>
      </c>
      <c r="AD58" s="57">
        <f t="shared" si="1"/>
        <v>0</v>
      </c>
      <c r="AE58" s="1"/>
      <c r="AF58" s="1"/>
      <c r="AG58" s="1"/>
      <c r="AH58" s="1"/>
      <c r="AI58" s="1"/>
      <c r="AJ58" s="1"/>
      <c r="AK58" s="1"/>
      <c r="AL58" s="1"/>
      <c r="AM58" s="1"/>
      <c r="AN58" s="1"/>
      <c r="AO58" s="1"/>
      <c r="AP58" s="1"/>
      <c r="AQ58" s="1"/>
      <c r="AR58" s="1"/>
      <c r="AS58" s="1"/>
      <c r="AT58" s="1"/>
      <c r="AU58" s="1"/>
      <c r="AV58" s="1"/>
      <c r="AW58" s="1"/>
      <c r="AX58" s="1"/>
      <c r="AY58" s="1"/>
    </row>
    <row r="59" spans="1:51" x14ac:dyDescent="0.25">
      <c r="A59" s="56"/>
      <c r="B59" s="57">
        <f>IF($B$29=0,0,$B$29*B6+$C$29*B7+$D$29*B8+$E$29*B9+$F$29*B10+$G$29*B11+$H$29*B12+$I$29*B13+$J$29*B14+$K$29*B15+$L$29*B16+$M$29*B17+$N$29*B18+$O$29*B19+$P$29*B20+$Q$29*B21+$R$29*B22+$S$29*B23+$T$29*B24+$U$29*B25+$V$29*B26+$W$29*B27+$X$29*B28+$Y$29*B29+$Z$29*B30+$AA$29*B31+$AB$29*B32)</f>
        <v>0</v>
      </c>
      <c r="C59" s="57">
        <f t="shared" ref="C59:AB59" si="25">IF($B$29=0,0,$B$29*C6+$C$29*C7+$D$29*C8+$E$29*C9+$F$29*C10+$G$29*C11+$H$29*C12+$I$29*C13+$J$29*C14+$K$29*C15+$L$29*C16+$M$29*C17+$N$29*C18+$O$29*C19+$P$29*C20+$Q$29*C21+$R$29*C22+$S$29*C23+$T$29*C24+$U$29*C25+$V$29*C26+$W$29*C27+$X$29*C28+$Y$29*C29+$Z$29*C30+$AA$29*C31+$AB$29*C32)</f>
        <v>0</v>
      </c>
      <c r="D59" s="57">
        <f t="shared" si="25"/>
        <v>0</v>
      </c>
      <c r="E59" s="57">
        <f t="shared" si="25"/>
        <v>0</v>
      </c>
      <c r="F59" s="57">
        <f t="shared" si="25"/>
        <v>0</v>
      </c>
      <c r="G59" s="57">
        <f t="shared" si="25"/>
        <v>0</v>
      </c>
      <c r="H59" s="57">
        <f t="shared" si="25"/>
        <v>0</v>
      </c>
      <c r="I59" s="57">
        <f t="shared" si="25"/>
        <v>0</v>
      </c>
      <c r="J59" s="57">
        <f t="shared" si="25"/>
        <v>0</v>
      </c>
      <c r="K59" s="57">
        <f t="shared" si="25"/>
        <v>0</v>
      </c>
      <c r="L59" s="57">
        <f t="shared" si="25"/>
        <v>0</v>
      </c>
      <c r="M59" s="57">
        <f t="shared" si="25"/>
        <v>0</v>
      </c>
      <c r="N59" s="57">
        <f t="shared" si="25"/>
        <v>0</v>
      </c>
      <c r="O59" s="57">
        <f t="shared" si="25"/>
        <v>0</v>
      </c>
      <c r="P59" s="57">
        <f t="shared" si="25"/>
        <v>0</v>
      </c>
      <c r="Q59" s="57">
        <f t="shared" si="25"/>
        <v>0</v>
      </c>
      <c r="R59" s="57">
        <f t="shared" si="25"/>
        <v>0</v>
      </c>
      <c r="S59" s="57">
        <f t="shared" si="25"/>
        <v>0</v>
      </c>
      <c r="T59" s="57">
        <f t="shared" si="25"/>
        <v>0</v>
      </c>
      <c r="U59" s="57">
        <f t="shared" si="25"/>
        <v>0</v>
      </c>
      <c r="V59" s="57">
        <f t="shared" si="25"/>
        <v>0</v>
      </c>
      <c r="W59" s="57">
        <f t="shared" si="25"/>
        <v>0</v>
      </c>
      <c r="X59" s="57">
        <f t="shared" si="25"/>
        <v>0</v>
      </c>
      <c r="Y59" s="57">
        <f t="shared" si="25"/>
        <v>0</v>
      </c>
      <c r="Z59" s="57">
        <f t="shared" si="25"/>
        <v>0</v>
      </c>
      <c r="AA59" s="57">
        <f t="shared" si="25"/>
        <v>0</v>
      </c>
      <c r="AB59" s="57">
        <f t="shared" si="25"/>
        <v>0</v>
      </c>
      <c r="AC59" s="57">
        <f t="shared" si="3"/>
        <v>0</v>
      </c>
      <c r="AD59" s="57">
        <f t="shared" si="1"/>
        <v>0</v>
      </c>
      <c r="AE59" s="1"/>
      <c r="AF59" s="1"/>
      <c r="AG59" s="1"/>
      <c r="AH59" s="1"/>
      <c r="AI59" s="1"/>
      <c r="AJ59" s="1"/>
      <c r="AK59" s="1"/>
      <c r="AL59" s="1"/>
      <c r="AM59" s="1"/>
      <c r="AN59" s="1"/>
      <c r="AO59" s="1"/>
      <c r="AP59" s="1"/>
      <c r="AQ59" s="1"/>
      <c r="AR59" s="1"/>
      <c r="AS59" s="1"/>
      <c r="AT59" s="1"/>
      <c r="AU59" s="1"/>
      <c r="AV59" s="1"/>
      <c r="AW59" s="1"/>
      <c r="AX59" s="1"/>
      <c r="AY59" s="1"/>
    </row>
    <row r="60" spans="1:51" x14ac:dyDescent="0.25">
      <c r="A60" s="56"/>
      <c r="B60" s="57">
        <f>IF($B$30=0,0,$B$30*B6+$C$30*B7+$D$30*B8+$E$30*B9+$F$30*B10+$G$30*B11+$H$30*B12+$I$30*B13+$J$30*B14+$K$30*B15+$L$30*B16+$M$30*B17+$N$30*B18+$O$30*B19+$P$30*B20+$Q$30*B21+$R$30*B22+$S$30*B23+$T$30*B24+$U$30*B25+$V$30*B26+$W$30*B27+$X$30*B28+$Y$30*B29+$Z$30*B30+$AA$30*B31+$AB$30*B32)</f>
        <v>0</v>
      </c>
      <c r="C60" s="57">
        <f t="shared" ref="C60:AB60" si="26">IF($B$30=0,0,$B$30*C6+$C$30*C7+$D$30*C8+$E$30*C9+$F$30*C10+$G$30*C11+$H$30*C12+$I$30*C13+$J$30*C14+$K$30*C15+$L$30*C16+$M$30*C17+$N$30*C18+$O$30*C19+$P$30*C20+$Q$30*C21+$R$30*C22+$S$30*C23+$T$30*C24+$U$30*C25+$V$30*C26+$W$30*C27+$X$30*C28+$Y$30*C29+$Z$30*C30+$AA$30*C31+$AB$30*C32)</f>
        <v>0</v>
      </c>
      <c r="D60" s="57">
        <f t="shared" si="26"/>
        <v>0</v>
      </c>
      <c r="E60" s="57">
        <f t="shared" si="26"/>
        <v>0</v>
      </c>
      <c r="F60" s="57">
        <f t="shared" si="26"/>
        <v>0</v>
      </c>
      <c r="G60" s="57">
        <f t="shared" si="26"/>
        <v>0</v>
      </c>
      <c r="H60" s="57">
        <f t="shared" si="26"/>
        <v>0</v>
      </c>
      <c r="I60" s="57">
        <f t="shared" si="26"/>
        <v>0</v>
      </c>
      <c r="J60" s="57">
        <f t="shared" si="26"/>
        <v>0</v>
      </c>
      <c r="K60" s="57">
        <f t="shared" si="26"/>
        <v>0</v>
      </c>
      <c r="L60" s="57">
        <f t="shared" si="26"/>
        <v>0</v>
      </c>
      <c r="M60" s="57">
        <f t="shared" si="26"/>
        <v>0</v>
      </c>
      <c r="N60" s="57">
        <f t="shared" si="26"/>
        <v>0</v>
      </c>
      <c r="O60" s="57">
        <f t="shared" si="26"/>
        <v>0</v>
      </c>
      <c r="P60" s="57">
        <f t="shared" si="26"/>
        <v>0</v>
      </c>
      <c r="Q60" s="57">
        <f t="shared" si="26"/>
        <v>0</v>
      </c>
      <c r="R60" s="57">
        <f t="shared" si="26"/>
        <v>0</v>
      </c>
      <c r="S60" s="57">
        <f t="shared" si="26"/>
        <v>0</v>
      </c>
      <c r="T60" s="57">
        <f t="shared" si="26"/>
        <v>0</v>
      </c>
      <c r="U60" s="57">
        <f t="shared" si="26"/>
        <v>0</v>
      </c>
      <c r="V60" s="57">
        <f t="shared" si="26"/>
        <v>0</v>
      </c>
      <c r="W60" s="57">
        <f t="shared" si="26"/>
        <v>0</v>
      </c>
      <c r="X60" s="57">
        <f t="shared" si="26"/>
        <v>0</v>
      </c>
      <c r="Y60" s="57">
        <f t="shared" si="26"/>
        <v>0</v>
      </c>
      <c r="Z60" s="57">
        <f t="shared" si="26"/>
        <v>0</v>
      </c>
      <c r="AA60" s="57">
        <f t="shared" si="26"/>
        <v>0</v>
      </c>
      <c r="AB60" s="57">
        <f t="shared" si="26"/>
        <v>0</v>
      </c>
      <c r="AC60" s="57">
        <f t="shared" si="3"/>
        <v>0</v>
      </c>
      <c r="AD60" s="57">
        <f t="shared" si="1"/>
        <v>0</v>
      </c>
      <c r="AE60" s="1"/>
      <c r="AF60" s="1"/>
      <c r="AG60" s="1"/>
      <c r="AH60" s="1"/>
      <c r="AI60" s="1"/>
      <c r="AJ60" s="1"/>
      <c r="AK60" s="1"/>
      <c r="AL60" s="1"/>
      <c r="AM60" s="1"/>
      <c r="AN60" s="1"/>
      <c r="AO60" s="1"/>
      <c r="AP60" s="1"/>
      <c r="AQ60" s="1"/>
      <c r="AR60" s="1"/>
      <c r="AS60" s="1"/>
      <c r="AT60" s="1"/>
      <c r="AU60" s="1"/>
      <c r="AV60" s="1"/>
      <c r="AW60" s="1"/>
      <c r="AX60" s="1"/>
      <c r="AY60" s="1"/>
    </row>
    <row r="61" spans="1:51" x14ac:dyDescent="0.25">
      <c r="A61" s="56"/>
      <c r="B61" s="57">
        <f>IF($B$31=0,0,$B$31*B6+$C$31*B7+$D$31*B8+$E$31*B9+$F$31*B10+$G$31*B11+$H$31*B12+$I$31*B13+$J$31*B14+$K$31*B15+$L$31*B16+$M$31*B17+$N$31*B18+$O$31*B19+$P$31*B20+$Q$31*B21+$R$31*B22+$S$31*B23+$T$31*B24+$U$31*B25+$V$31*B26+$W$31*B27+$X$31*B28+$Y$31*B29+$Z$31*B30+$AA$31*B31+$AB$31*B32)</f>
        <v>0</v>
      </c>
      <c r="C61" s="57">
        <f t="shared" ref="C61:AB61" si="27">IF($B$31=0,0,$B$31*C6+$C$31*C7+$D$31*C8+$E$31*C9+$F$31*C10+$G$31*C11+$H$31*C12+$I$31*C13+$J$31*C14+$K$31*C15+$L$31*C16+$M$31*C17+$N$31*C18+$O$31*C19+$P$31*C20+$Q$31*C21+$R$31*C22+$S$31*C23+$T$31*C24+$U$31*C25+$V$31*C26+$W$31*C27+$X$31*C28+$Y$31*C29+$Z$31*C30+$AA$31*C31+$AB$31*C32)</f>
        <v>0</v>
      </c>
      <c r="D61" s="57">
        <f t="shared" si="27"/>
        <v>0</v>
      </c>
      <c r="E61" s="57">
        <f t="shared" si="27"/>
        <v>0</v>
      </c>
      <c r="F61" s="57">
        <f t="shared" si="27"/>
        <v>0</v>
      </c>
      <c r="G61" s="57">
        <f t="shared" si="27"/>
        <v>0</v>
      </c>
      <c r="H61" s="57">
        <f t="shared" si="27"/>
        <v>0</v>
      </c>
      <c r="I61" s="57">
        <f t="shared" si="27"/>
        <v>0</v>
      </c>
      <c r="J61" s="57">
        <f t="shared" si="27"/>
        <v>0</v>
      </c>
      <c r="K61" s="57">
        <f t="shared" si="27"/>
        <v>0</v>
      </c>
      <c r="L61" s="57">
        <f t="shared" si="27"/>
        <v>0</v>
      </c>
      <c r="M61" s="57">
        <f t="shared" si="27"/>
        <v>0</v>
      </c>
      <c r="N61" s="57">
        <f t="shared" si="27"/>
        <v>0</v>
      </c>
      <c r="O61" s="57">
        <f t="shared" si="27"/>
        <v>0</v>
      </c>
      <c r="P61" s="57">
        <f t="shared" si="27"/>
        <v>0</v>
      </c>
      <c r="Q61" s="57">
        <f t="shared" si="27"/>
        <v>0</v>
      </c>
      <c r="R61" s="57">
        <f t="shared" si="27"/>
        <v>0</v>
      </c>
      <c r="S61" s="57">
        <f t="shared" si="27"/>
        <v>0</v>
      </c>
      <c r="T61" s="57">
        <f t="shared" si="27"/>
        <v>0</v>
      </c>
      <c r="U61" s="57">
        <f t="shared" si="27"/>
        <v>0</v>
      </c>
      <c r="V61" s="57">
        <f t="shared" si="27"/>
        <v>0</v>
      </c>
      <c r="W61" s="57">
        <f t="shared" si="27"/>
        <v>0</v>
      </c>
      <c r="X61" s="57">
        <f t="shared" si="27"/>
        <v>0</v>
      </c>
      <c r="Y61" s="57">
        <f t="shared" si="27"/>
        <v>0</v>
      </c>
      <c r="Z61" s="57">
        <f t="shared" si="27"/>
        <v>0</v>
      </c>
      <c r="AA61" s="57">
        <f t="shared" si="27"/>
        <v>0</v>
      </c>
      <c r="AB61" s="57">
        <f t="shared" si="27"/>
        <v>0</v>
      </c>
      <c r="AC61" s="57">
        <f t="shared" si="3"/>
        <v>0</v>
      </c>
      <c r="AD61" s="57">
        <f t="shared" si="1"/>
        <v>0</v>
      </c>
      <c r="AE61" s="1"/>
      <c r="AF61" s="1"/>
      <c r="AG61" s="1"/>
      <c r="AH61" s="1"/>
      <c r="AI61" s="1"/>
      <c r="AJ61" s="1"/>
      <c r="AK61" s="1"/>
      <c r="AL61" s="1"/>
      <c r="AM61" s="1"/>
      <c r="AN61" s="1"/>
      <c r="AO61" s="1"/>
      <c r="AP61" s="1"/>
      <c r="AQ61" s="1"/>
      <c r="AR61" s="1"/>
      <c r="AS61" s="1"/>
      <c r="AT61" s="1"/>
      <c r="AU61" s="1"/>
      <c r="AV61" s="1"/>
      <c r="AW61" s="1"/>
      <c r="AX61" s="1"/>
      <c r="AY61" s="1"/>
    </row>
    <row r="62" spans="1:51" x14ac:dyDescent="0.25">
      <c r="A62" s="56"/>
      <c r="B62" s="57">
        <f>IF($B$32=0,0,$B$32*B6+$C$32*B7+$D$32*B8+$E$32*B9+$F$32*B10+$G$32*B11+$H$32*B12+$I$32*B13+$J$32*B14+$K$32*B15+$L$32*B16+$M$32*B17+$N$32*B18+$O$32*B19+$P$32*B20+$Q$32*B21+$R$32*B22+$S$32*B23+$T$32*B24+$U$32*B25+$V$32*B26+$W$32*B27+$X$32*B28+$Y$32*B29+$Z$32*B30+$AA$32*B31+$AB$32*B32)</f>
        <v>0</v>
      </c>
      <c r="C62" s="57">
        <f>IF($B$32=0,0,$B$32*C6+$C$32*C7+$D$32*C8+$E$32*C9+$F$32*C10+$G$32*C11+$H$32*C12+$I$32*C13+$J$32*C14+$K$32*C15+$L$32*C16+$M$32*C17+$N$32*C18+$O$32*C19+$P$32*C20+$Q$32*C21+$R$32*C22+$S$32*C23+$T$32*C24+$U$32*C25+$V$32*C26+$W$32*C27+$X$32*C28+$Y$32*C29+$Z$32*C30+$AA$32*C31+$AB$32*C32)</f>
        <v>0</v>
      </c>
      <c r="D62" s="57">
        <f t="shared" ref="D62:AB62" si="28">IF($B$32=0,0,$B$32*D6+$C$32*D7+$D$32*D8+$E$32*D9+$F$32*D10+$G$32*D11+$H$32*D12+$I$32*D13+$J$32*D14+$K$32*D15+$L$32*D16+$M$32*D17+$N$32*D18+$O$32*D19+$P$32*D20+$Q$32*D21+$R$32*D22+$S$32*D23+$T$32*D24+$U$32*D25+$V$32*D26+$W$32*D27+$X$32*D28+$Y$32*D29+$Z$32*D30+$AA$32*D31+$AB$32*D32)</f>
        <v>0</v>
      </c>
      <c r="E62" s="57">
        <f t="shared" si="28"/>
        <v>0</v>
      </c>
      <c r="F62" s="57">
        <f t="shared" si="28"/>
        <v>0</v>
      </c>
      <c r="G62" s="57">
        <f t="shared" si="28"/>
        <v>0</v>
      </c>
      <c r="H62" s="57">
        <f t="shared" si="28"/>
        <v>0</v>
      </c>
      <c r="I62" s="57">
        <f t="shared" si="28"/>
        <v>0</v>
      </c>
      <c r="J62" s="57">
        <f t="shared" si="28"/>
        <v>0</v>
      </c>
      <c r="K62" s="57">
        <f t="shared" si="28"/>
        <v>0</v>
      </c>
      <c r="L62" s="57">
        <f t="shared" si="28"/>
        <v>0</v>
      </c>
      <c r="M62" s="57">
        <f t="shared" si="28"/>
        <v>0</v>
      </c>
      <c r="N62" s="57">
        <f t="shared" si="28"/>
        <v>0</v>
      </c>
      <c r="O62" s="57">
        <f t="shared" si="28"/>
        <v>0</v>
      </c>
      <c r="P62" s="57">
        <f t="shared" si="28"/>
        <v>0</v>
      </c>
      <c r="Q62" s="57">
        <f t="shared" si="28"/>
        <v>0</v>
      </c>
      <c r="R62" s="57">
        <f t="shared" si="28"/>
        <v>0</v>
      </c>
      <c r="S62" s="57">
        <f t="shared" si="28"/>
        <v>0</v>
      </c>
      <c r="T62" s="57">
        <f t="shared" si="28"/>
        <v>0</v>
      </c>
      <c r="U62" s="57">
        <f t="shared" si="28"/>
        <v>0</v>
      </c>
      <c r="V62" s="57">
        <f t="shared" si="28"/>
        <v>0</v>
      </c>
      <c r="W62" s="57">
        <f t="shared" si="28"/>
        <v>0</v>
      </c>
      <c r="X62" s="57">
        <f t="shared" si="28"/>
        <v>0</v>
      </c>
      <c r="Y62" s="57">
        <f t="shared" si="28"/>
        <v>0</v>
      </c>
      <c r="Z62" s="57">
        <f t="shared" si="28"/>
        <v>0</v>
      </c>
      <c r="AA62" s="57">
        <f t="shared" si="28"/>
        <v>0</v>
      </c>
      <c r="AB62" s="57">
        <f t="shared" si="28"/>
        <v>0</v>
      </c>
      <c r="AC62" s="57">
        <f t="shared" si="3"/>
        <v>0</v>
      </c>
      <c r="AD62" s="57">
        <f t="shared" si="1"/>
        <v>0</v>
      </c>
      <c r="AE62" s="1"/>
      <c r="AF62" s="1"/>
      <c r="AG62" s="1"/>
      <c r="AH62" s="1"/>
      <c r="AI62" s="1"/>
      <c r="AJ62" s="1"/>
      <c r="AK62" s="1"/>
      <c r="AL62" s="1"/>
      <c r="AM62" s="1"/>
      <c r="AN62" s="1"/>
      <c r="AO62" s="1"/>
      <c r="AP62" s="1"/>
      <c r="AQ62" s="1"/>
      <c r="AR62" s="1"/>
      <c r="AS62" s="1"/>
      <c r="AT62" s="1"/>
      <c r="AU62" s="1"/>
      <c r="AV62" s="1"/>
      <c r="AW62" s="1"/>
      <c r="AX62" s="1"/>
      <c r="AY62" s="1"/>
    </row>
    <row r="63" spans="1:51" ht="21" x14ac:dyDescent="0.4">
      <c r="A63" s="44"/>
      <c r="B63" s="1"/>
      <c r="C63" s="1"/>
      <c r="D63" s="1"/>
      <c r="E63" s="1"/>
      <c r="F63" s="1"/>
      <c r="G63" s="1"/>
      <c r="H63" s="58"/>
      <c r="I63" s="58"/>
      <c r="J63" s="58"/>
      <c r="K63" s="58"/>
      <c r="L63" s="58"/>
      <c r="M63" s="58"/>
      <c r="N63" s="59"/>
      <c r="O63" s="59"/>
      <c r="P63" s="1"/>
      <c r="Q63" s="1"/>
      <c r="R63" s="1"/>
      <c r="S63" s="1"/>
      <c r="T63" s="1"/>
      <c r="U63" s="1"/>
      <c r="V63" s="1"/>
      <c r="W63" s="1"/>
      <c r="X63" s="1"/>
      <c r="Y63" s="1"/>
      <c r="Z63" s="1"/>
      <c r="AA63" s="1"/>
      <c r="AB63" s="39" t="s">
        <v>71</v>
      </c>
      <c r="AC63" s="51">
        <f>SUM(AC36:AC62)</f>
        <v>1</v>
      </c>
      <c r="AD63" s="51">
        <f>SUM(AD36:AD62)</f>
        <v>1</v>
      </c>
      <c r="AE63" s="1"/>
      <c r="AF63" s="1"/>
      <c r="AG63" s="1"/>
      <c r="AH63" s="1"/>
      <c r="AI63" s="1"/>
      <c r="AJ63" s="1"/>
      <c r="AK63" s="1"/>
      <c r="AL63" s="1"/>
      <c r="AM63" s="1"/>
      <c r="AN63" s="1"/>
      <c r="AO63" s="1"/>
      <c r="AP63" s="1"/>
      <c r="AQ63" s="1"/>
      <c r="AR63" s="1"/>
      <c r="AS63" s="1"/>
      <c r="AT63" s="1"/>
      <c r="AU63" s="1"/>
      <c r="AV63" s="1"/>
      <c r="AW63" s="1"/>
      <c r="AX63" s="1"/>
      <c r="AY63" s="1"/>
    </row>
    <row r="64" spans="1:51" x14ac:dyDescent="0.25">
      <c r="A64" s="44"/>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spans="1:51" x14ac:dyDescent="0.25">
      <c r="A65" s="44"/>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spans="1:51" x14ac:dyDescent="0.25">
      <c r="A66" s="44"/>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spans="1:51" x14ac:dyDescent="0.25">
      <c r="A67" s="44"/>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spans="1:51" x14ac:dyDescent="0.25">
      <c r="A68" s="44"/>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spans="1:51" x14ac:dyDescent="0.25">
      <c r="A69" s="44"/>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spans="1:51" x14ac:dyDescent="0.25">
      <c r="A70" s="44"/>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spans="1:51" x14ac:dyDescent="0.25">
      <c r="A71" s="44"/>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spans="1:51" x14ac:dyDescent="0.25">
      <c r="A72" s="44"/>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spans="1:51" x14ac:dyDescent="0.25">
      <c r="A73" s="44"/>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spans="1:51" x14ac:dyDescent="0.25">
      <c r="A74" s="44"/>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spans="1:51" x14ac:dyDescent="0.25">
      <c r="A75" s="44"/>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spans="1:51" x14ac:dyDescent="0.25">
      <c r="A76" s="44"/>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spans="1:51" x14ac:dyDescent="0.25">
      <c r="A77" s="44"/>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spans="1:51" x14ac:dyDescent="0.25">
      <c r="A78" s="44"/>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spans="1:51" x14ac:dyDescent="0.25">
      <c r="A79" s="44"/>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spans="1:51" x14ac:dyDescent="0.25">
      <c r="A80" s="44"/>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spans="1:51" x14ac:dyDescent="0.25">
      <c r="A81" s="44"/>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spans="1:51" x14ac:dyDescent="0.25">
      <c r="A82" s="44"/>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spans="1:51" x14ac:dyDescent="0.25">
      <c r="A83" s="44"/>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spans="1:51" x14ac:dyDescent="0.25">
      <c r="A84" s="44"/>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spans="1:51" x14ac:dyDescent="0.25">
      <c r="A85" s="44"/>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spans="1:51" x14ac:dyDescent="0.25">
      <c r="A86" s="44"/>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spans="1:51" x14ac:dyDescent="0.25">
      <c r="A87" s="44"/>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spans="1:51" x14ac:dyDescent="0.25">
      <c r="A88" s="44"/>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spans="1:51" x14ac:dyDescent="0.25">
      <c r="A89" s="44"/>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spans="1:51" x14ac:dyDescent="0.25">
      <c r="A90" s="44"/>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spans="1:51" x14ac:dyDescent="0.25">
      <c r="A91" s="44"/>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spans="1:51" x14ac:dyDescent="0.25">
      <c r="A92" s="44"/>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spans="1:51" x14ac:dyDescent="0.25">
      <c r="A93" s="44"/>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spans="1:51" x14ac:dyDescent="0.25">
      <c r="A94" s="44"/>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spans="1:51" x14ac:dyDescent="0.25">
      <c r="A95" s="44"/>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spans="1:51" x14ac:dyDescent="0.25">
      <c r="A96" s="44"/>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spans="1:51" x14ac:dyDescent="0.25">
      <c r="A97" s="44"/>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spans="1:51" x14ac:dyDescent="0.25">
      <c r="A98" s="44"/>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spans="1:51" x14ac:dyDescent="0.25">
      <c r="A99" s="44"/>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spans="1:51" x14ac:dyDescent="0.25">
      <c r="A100" s="44"/>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spans="1:51" x14ac:dyDescent="0.25">
      <c r="A101" s="44"/>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spans="1:51" x14ac:dyDescent="0.25">
      <c r="A102" s="44"/>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spans="1:51" x14ac:dyDescent="0.25">
      <c r="A103" s="44"/>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spans="1:51" x14ac:dyDescent="0.25">
      <c r="A104" s="4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spans="1:51" x14ac:dyDescent="0.25">
      <c r="A105" s="44"/>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spans="1:51" x14ac:dyDescent="0.25">
      <c r="A106" s="44"/>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spans="1:51" x14ac:dyDescent="0.25">
      <c r="A107" s="44"/>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51" x14ac:dyDescent="0.25">
      <c r="A108" s="44"/>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51" x14ac:dyDescent="0.25">
      <c r="A109" s="44"/>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51" x14ac:dyDescent="0.25">
      <c r="A110" s="44"/>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51" x14ac:dyDescent="0.25">
      <c r="A111" s="44"/>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51" x14ac:dyDescent="0.25">
      <c r="A112" s="44"/>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27" x14ac:dyDescent="0.25">
      <c r="A113" s="44"/>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4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sheetData>
  <sheetProtection algorithmName="SHA-512" hashValue="YP3tKNiBgUirmsBnDQKHCpnXuYLkks6bZF3Nuf9ldG+g2DaKrWxh9hCJP+jsA1W/Rm53dlKsx87Qj4bEE5NqEQ==" saltValue="1JD5cIymyoMTaTyCv/aWTQ==" spinCount="100000" sheet="1" objects="1" scenarios="1"/>
  <mergeCells count="5">
    <mergeCell ref="H34:J34"/>
    <mergeCell ref="A1:L1"/>
    <mergeCell ref="M1:S1"/>
    <mergeCell ref="A2:S2"/>
    <mergeCell ref="G4:M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D228-E5CD-4AF5-8DD3-62C24095E9B2}">
  <dimension ref="A1:BC114"/>
  <sheetViews>
    <sheetView zoomScale="80" zoomScaleNormal="80" workbookViewId="0">
      <selection activeCell="C6" sqref="C6"/>
    </sheetView>
  </sheetViews>
  <sheetFormatPr defaultRowHeight="13.8" x14ac:dyDescent="0.25"/>
  <cols>
    <col min="1" max="1" width="14.3984375" style="47" customWidth="1"/>
    <col min="6" max="6" width="11.3984375" customWidth="1"/>
    <col min="12" max="12" width="11.3984375" bestFit="1" customWidth="1"/>
    <col min="16" max="17" width="11.3984375" bestFit="1" customWidth="1"/>
  </cols>
  <sheetData>
    <row r="1" spans="1:55" ht="150" customHeight="1" x14ac:dyDescent="0.3">
      <c r="A1" s="85" t="s">
        <v>99</v>
      </c>
      <c r="B1" s="85"/>
      <c r="C1" s="85"/>
      <c r="D1" s="85"/>
      <c r="E1" s="85"/>
      <c r="F1" s="85"/>
      <c r="G1" s="85"/>
      <c r="H1" s="85"/>
      <c r="I1" s="85"/>
      <c r="J1" s="85"/>
      <c r="K1" s="85"/>
      <c r="L1" s="85"/>
      <c r="M1" s="86" t="s">
        <v>88</v>
      </c>
      <c r="N1" s="86"/>
      <c r="O1" s="86"/>
      <c r="P1" s="86"/>
      <c r="Q1" s="86"/>
      <c r="R1" s="86"/>
      <c r="S1" s="86"/>
      <c r="T1" s="44"/>
      <c r="U1" s="44"/>
      <c r="V1" s="44"/>
      <c r="W1" s="44"/>
      <c r="X1" s="44"/>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s="1" customFormat="1" x14ac:dyDescent="0.25">
      <c r="A2" s="88" t="s">
        <v>87</v>
      </c>
      <c r="B2" s="89"/>
      <c r="C2" s="89"/>
      <c r="D2" s="89"/>
      <c r="E2" s="89"/>
      <c r="F2" s="89"/>
      <c r="G2" s="89"/>
      <c r="H2" s="89"/>
      <c r="I2" s="89"/>
      <c r="J2" s="89"/>
      <c r="K2" s="89"/>
      <c r="L2" s="89"/>
      <c r="M2" s="89"/>
      <c r="N2" s="89"/>
      <c r="O2" s="89"/>
      <c r="P2" s="89"/>
      <c r="Q2" s="89"/>
      <c r="R2" s="89"/>
      <c r="S2" s="89"/>
    </row>
    <row r="3" spans="1:55" s="1" customFormat="1" x14ac:dyDescent="0.25">
      <c r="A3" s="45"/>
      <c r="B3" s="40"/>
      <c r="C3" s="40"/>
      <c r="D3" s="40"/>
      <c r="E3" s="40"/>
      <c r="F3" s="40"/>
      <c r="G3" s="46"/>
      <c r="H3" s="46"/>
      <c r="I3" s="46"/>
      <c r="J3" s="46"/>
      <c r="K3" s="46"/>
      <c r="L3" s="46"/>
      <c r="M3" s="46"/>
      <c r="N3" s="40"/>
      <c r="O3" s="40"/>
    </row>
    <row r="4" spans="1:55" s="1" customFormat="1" x14ac:dyDescent="0.25">
      <c r="G4" s="87" t="s">
        <v>101</v>
      </c>
      <c r="H4" s="87"/>
      <c r="I4" s="87"/>
      <c r="J4" s="87"/>
      <c r="K4" s="87"/>
      <c r="L4" s="87"/>
      <c r="M4" s="87"/>
    </row>
    <row r="5" spans="1:55" s="52" customFormat="1" ht="34.799999999999997" x14ac:dyDescent="0.25">
      <c r="A5" s="47"/>
      <c r="B5" s="48" t="e" cm="1" vm="2">
        <f t="array" ref="B5:AB5">IF(TRANSPOSE(A6:A32)=0,"-",TRANSPOSE(A6:A32))</f>
        <v>#VALUE!</v>
      </c>
      <c r="C5" s="49" t="str">
        <v>-</v>
      </c>
      <c r="D5" s="48" t="str">
        <v>-</v>
      </c>
      <c r="E5" s="48" t="str">
        <v>-</v>
      </c>
      <c r="F5" s="48" t="str">
        <v>-</v>
      </c>
      <c r="G5" s="48" t="str">
        <v>-</v>
      </c>
      <c r="H5" s="48" t="str">
        <v>-</v>
      </c>
      <c r="I5" s="48" t="str">
        <v>-</v>
      </c>
      <c r="J5" s="48" t="str">
        <v>-</v>
      </c>
      <c r="K5" s="48" t="str">
        <v>-</v>
      </c>
      <c r="L5" s="48" t="str">
        <v>-</v>
      </c>
      <c r="M5" s="48" t="str">
        <v>-</v>
      </c>
      <c r="N5" s="48" t="str">
        <v>-</v>
      </c>
      <c r="O5" s="48" t="str">
        <v>-</v>
      </c>
      <c r="P5" s="48" t="str">
        <v>-</v>
      </c>
      <c r="Q5" s="48" t="str">
        <v>-</v>
      </c>
      <c r="R5" s="48" t="str">
        <v>-</v>
      </c>
      <c r="S5" s="48" t="str">
        <v>-</v>
      </c>
      <c r="T5" s="48" t="str">
        <v>-</v>
      </c>
      <c r="U5" s="48" t="str">
        <v>-</v>
      </c>
      <c r="V5" s="48" t="str">
        <v>-</v>
      </c>
      <c r="W5" s="48" t="str">
        <v>-</v>
      </c>
      <c r="X5" s="48" t="str">
        <v>-</v>
      </c>
      <c r="Y5" s="48" t="str">
        <v>-</v>
      </c>
      <c r="Z5" s="48" t="str">
        <v>-</v>
      </c>
      <c r="AA5" s="48" t="str">
        <v>-</v>
      </c>
      <c r="AB5" s="48" t="str">
        <v>-</v>
      </c>
      <c r="AC5" s="1"/>
      <c r="AD5" s="1"/>
      <c r="AE5" s="1"/>
      <c r="AF5" s="1"/>
      <c r="AG5" s="1"/>
      <c r="AH5" s="1"/>
      <c r="AI5" s="1"/>
      <c r="AJ5" s="1"/>
      <c r="AK5" s="1"/>
      <c r="AL5" s="1"/>
      <c r="AM5" s="1"/>
      <c r="AN5" s="1"/>
      <c r="AO5" s="1"/>
      <c r="AP5" s="1"/>
      <c r="AQ5" s="1"/>
      <c r="AR5" s="1"/>
      <c r="AS5" s="1"/>
      <c r="AT5" s="1"/>
      <c r="AU5" s="1"/>
      <c r="AV5" s="1"/>
      <c r="AW5" s="1"/>
      <c r="AX5" s="1"/>
      <c r="AY5" s="1"/>
      <c r="AZ5" s="1"/>
      <c r="BA5" s="1"/>
      <c r="BB5" s="50"/>
      <c r="BC5" s="51"/>
    </row>
    <row r="6" spans="1:55" x14ac:dyDescent="0.25">
      <c r="A6" s="49" t="e" cm="1" vm="2">
        <f t="array" ref="A6">_xlfn._xlws.FILTER('AHP(Structure the hierarchy)'!B6:B33, 'AHP(Structure the hierarchy)'!B6:B33&lt;&gt;"")</f>
        <v>#VALUE!</v>
      </c>
      <c r="B6" s="53">
        <v>1</v>
      </c>
      <c r="C6" s="42"/>
      <c r="D6" s="42"/>
      <c r="E6" s="42"/>
      <c r="F6" s="42"/>
      <c r="G6" s="42"/>
      <c r="H6" s="42"/>
      <c r="I6" s="42"/>
      <c r="J6" s="42"/>
      <c r="K6" s="42"/>
      <c r="L6" s="43"/>
      <c r="M6" s="43"/>
      <c r="N6" s="43"/>
      <c r="O6" s="43"/>
      <c r="P6" s="43"/>
      <c r="Q6" s="42"/>
      <c r="R6" s="42"/>
      <c r="S6" s="42"/>
      <c r="T6" s="42"/>
      <c r="U6" s="42"/>
      <c r="V6" s="42"/>
      <c r="W6" s="42"/>
      <c r="X6" s="42"/>
      <c r="Y6" s="42"/>
      <c r="Z6" s="42"/>
      <c r="AA6" s="42"/>
      <c r="AB6" s="42"/>
      <c r="AC6" s="1"/>
      <c r="AD6" s="1"/>
      <c r="AE6" s="1"/>
      <c r="AF6" s="1"/>
      <c r="AG6" s="1"/>
      <c r="AH6" s="1"/>
      <c r="AI6" s="1"/>
      <c r="AJ6" s="1"/>
      <c r="AK6" s="1"/>
      <c r="AL6" s="1"/>
      <c r="AM6" s="1"/>
      <c r="AN6" s="1"/>
      <c r="AO6" s="1"/>
      <c r="AP6" s="1"/>
      <c r="AQ6" s="1"/>
      <c r="AR6" s="1"/>
      <c r="AS6" s="1"/>
      <c r="AT6" s="1"/>
      <c r="AU6" s="1"/>
      <c r="AV6" s="1"/>
      <c r="AW6" s="1"/>
      <c r="AX6" s="1"/>
      <c r="AY6" s="1"/>
      <c r="AZ6" s="1"/>
      <c r="BA6" s="1"/>
      <c r="BB6" s="1"/>
      <c r="BC6" s="1"/>
    </row>
    <row r="7" spans="1:55" ht="23.4" x14ac:dyDescent="0.25">
      <c r="A7" s="49"/>
      <c r="B7" s="52">
        <f>IF(C6=0,0,1/C6)</f>
        <v>0</v>
      </c>
      <c r="C7" s="53">
        <v>1</v>
      </c>
      <c r="D7" s="42"/>
      <c r="E7" s="42"/>
      <c r="F7" s="42"/>
      <c r="G7" s="42"/>
      <c r="H7" s="42"/>
      <c r="I7" s="42"/>
      <c r="J7" s="42"/>
      <c r="K7" s="42"/>
      <c r="L7" s="43"/>
      <c r="M7" s="43"/>
      <c r="N7" s="43"/>
      <c r="O7" s="43"/>
      <c r="P7" s="43"/>
      <c r="Q7" s="42"/>
      <c r="R7" s="42"/>
      <c r="S7" s="42"/>
      <c r="T7" s="42"/>
      <c r="U7" s="42"/>
      <c r="V7" s="42"/>
      <c r="W7" s="42"/>
      <c r="X7" s="42"/>
      <c r="Y7" s="42"/>
      <c r="Z7" s="42"/>
      <c r="AA7" s="42"/>
      <c r="AB7" s="42"/>
      <c r="AC7" s="1"/>
      <c r="AD7" s="1"/>
      <c r="AE7" s="1"/>
      <c r="AF7" s="1"/>
      <c r="AG7" s="1"/>
      <c r="AH7" s="1"/>
      <c r="AI7" s="1"/>
      <c r="AJ7" s="1"/>
      <c r="AK7" s="1"/>
      <c r="AL7" s="1"/>
      <c r="AM7" s="1"/>
      <c r="AN7" s="1"/>
      <c r="AO7" s="1"/>
      <c r="AP7" s="1"/>
      <c r="AQ7" s="1"/>
      <c r="AR7" s="1"/>
      <c r="AS7" s="1"/>
      <c r="AT7" s="1"/>
      <c r="AU7" s="1"/>
      <c r="AV7" s="1"/>
      <c r="AW7" s="1"/>
      <c r="AX7" s="1"/>
      <c r="AY7" s="1"/>
      <c r="AZ7" s="1"/>
      <c r="BA7" s="1"/>
      <c r="BB7" s="1"/>
      <c r="BC7" s="1"/>
    </row>
    <row r="8" spans="1:55" x14ac:dyDescent="0.25">
      <c r="A8" s="49"/>
      <c r="B8" s="52">
        <f>IF(D6=0,0,1/D6)</f>
        <v>0</v>
      </c>
      <c r="C8" s="52">
        <f>IF(D7=0,0,1/D7)</f>
        <v>0</v>
      </c>
      <c r="D8" s="53">
        <v>1</v>
      </c>
      <c r="E8" s="42"/>
      <c r="F8" s="42"/>
      <c r="G8" s="42"/>
      <c r="H8" s="42"/>
      <c r="I8" s="42"/>
      <c r="J8" s="42"/>
      <c r="K8" s="42"/>
      <c r="L8" s="43"/>
      <c r="M8" s="43"/>
      <c r="N8" s="43"/>
      <c r="O8" s="43"/>
      <c r="P8" s="43"/>
      <c r="Q8" s="42"/>
      <c r="R8" s="42"/>
      <c r="S8" s="42"/>
      <c r="T8" s="42"/>
      <c r="U8" s="42"/>
      <c r="V8" s="42"/>
      <c r="W8" s="42"/>
      <c r="X8" s="42"/>
      <c r="Y8" s="42"/>
      <c r="Z8" s="42"/>
      <c r="AA8" s="42"/>
      <c r="AB8" s="42"/>
      <c r="AC8" s="1"/>
      <c r="AD8" s="1"/>
      <c r="AE8" s="1"/>
      <c r="AF8" s="1"/>
      <c r="AG8" s="1"/>
      <c r="AH8" s="1"/>
      <c r="AI8" s="1"/>
      <c r="AJ8" s="1"/>
      <c r="AK8" s="1"/>
      <c r="AL8" s="1"/>
      <c r="AM8" s="1"/>
      <c r="AN8" s="1"/>
      <c r="AO8" s="1"/>
      <c r="AP8" s="1"/>
      <c r="AQ8" s="1"/>
      <c r="AR8" s="1"/>
      <c r="AS8" s="1"/>
      <c r="AT8" s="1"/>
      <c r="AU8" s="1"/>
      <c r="AV8" s="1"/>
      <c r="AW8" s="1"/>
      <c r="AX8" s="1"/>
      <c r="AY8" s="1"/>
      <c r="AZ8" s="1"/>
      <c r="BA8" s="1"/>
      <c r="BB8" s="1"/>
      <c r="BC8" s="1"/>
    </row>
    <row r="9" spans="1:55" ht="23.4" x14ac:dyDescent="0.25">
      <c r="A9" s="49"/>
      <c r="B9" s="52">
        <f>IF(E6=0,0,1/E6)</f>
        <v>0</v>
      </c>
      <c r="C9" s="52">
        <f>IF(E7=0,0,1/E7)</f>
        <v>0</v>
      </c>
      <c r="D9" s="52">
        <f>IF(E8=0,0,1/E8)</f>
        <v>0</v>
      </c>
      <c r="E9" s="53">
        <v>1</v>
      </c>
      <c r="F9" s="42"/>
      <c r="G9" s="42"/>
      <c r="H9" s="42"/>
      <c r="I9" s="42"/>
      <c r="J9" s="42"/>
      <c r="K9" s="42"/>
      <c r="L9" s="43"/>
      <c r="M9" s="43"/>
      <c r="N9" s="43"/>
      <c r="O9" s="43"/>
      <c r="P9" s="43"/>
      <c r="Q9" s="42"/>
      <c r="R9" s="42"/>
      <c r="S9" s="42"/>
      <c r="T9" s="42"/>
      <c r="U9" s="42"/>
      <c r="V9" s="42"/>
      <c r="W9" s="42"/>
      <c r="X9" s="42"/>
      <c r="Y9" s="42"/>
      <c r="Z9" s="42"/>
      <c r="AA9" s="42"/>
      <c r="AB9" s="42"/>
      <c r="AC9" s="1"/>
      <c r="AD9" s="1"/>
      <c r="AE9" s="1"/>
      <c r="AF9" s="1"/>
      <c r="AG9" s="1"/>
      <c r="AH9" s="1"/>
      <c r="AI9" s="1"/>
      <c r="AJ9" s="1"/>
      <c r="AK9" s="1"/>
      <c r="AL9" s="1"/>
      <c r="AM9" s="1"/>
      <c r="AN9" s="1"/>
      <c r="AO9" s="1"/>
      <c r="AP9" s="1"/>
      <c r="AQ9" s="1"/>
      <c r="AR9" s="1"/>
      <c r="AS9" s="1"/>
      <c r="AT9" s="1"/>
      <c r="AU9" s="1"/>
      <c r="AV9" s="1"/>
      <c r="AW9" s="1"/>
      <c r="AX9" s="1"/>
      <c r="AY9" s="1"/>
      <c r="AZ9" s="1"/>
      <c r="BA9" s="1"/>
      <c r="BB9" s="1"/>
      <c r="BC9" s="1"/>
    </row>
    <row r="10" spans="1:55" x14ac:dyDescent="0.25">
      <c r="A10" s="49"/>
      <c r="B10" s="52">
        <f>IF(F6=0,0,1/F6)</f>
        <v>0</v>
      </c>
      <c r="C10" s="52">
        <f>IF(F7=0,0,1/F7)</f>
        <v>0</v>
      </c>
      <c r="D10" s="52">
        <f>IF(F8=0,0,1/F8)</f>
        <v>0</v>
      </c>
      <c r="E10" s="52">
        <f>IF(F9=0,0,1/F9)</f>
        <v>0</v>
      </c>
      <c r="F10" s="53">
        <v>1</v>
      </c>
      <c r="G10" s="42"/>
      <c r="H10" s="42"/>
      <c r="I10" s="42"/>
      <c r="J10" s="42"/>
      <c r="K10" s="42"/>
      <c r="L10" s="43"/>
      <c r="M10" s="43"/>
      <c r="N10" s="43"/>
      <c r="O10" s="43"/>
      <c r="P10" s="43"/>
      <c r="Q10" s="42"/>
      <c r="R10" s="42"/>
      <c r="S10" s="42"/>
      <c r="T10" s="42"/>
      <c r="U10" s="42"/>
      <c r="V10" s="42"/>
      <c r="W10" s="42"/>
      <c r="X10" s="42"/>
      <c r="Y10" s="42"/>
      <c r="Z10" s="42"/>
      <c r="AA10" s="42"/>
      <c r="AB10" s="42"/>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row>
    <row r="11" spans="1:55" x14ac:dyDescent="0.25">
      <c r="A11" s="49"/>
      <c r="B11" s="52">
        <f>IF(G6=0,0,1/G6)</f>
        <v>0</v>
      </c>
      <c r="C11" s="52">
        <f>IF(G7=0,0,1/G7)</f>
        <v>0</v>
      </c>
      <c r="D11" s="52">
        <f>IF(G8=0,0,1/G8)</f>
        <v>0</v>
      </c>
      <c r="E11" s="52">
        <f>IF(G9=0,0,1/G9)</f>
        <v>0</v>
      </c>
      <c r="F11" s="52">
        <f>IF(G10=0,0,1/G10)</f>
        <v>0</v>
      </c>
      <c r="G11" s="53">
        <v>1</v>
      </c>
      <c r="H11" s="42"/>
      <c r="I11" s="42"/>
      <c r="J11" s="42"/>
      <c r="K11" s="42"/>
      <c r="L11" s="43"/>
      <c r="M11" s="43"/>
      <c r="N11" s="43"/>
      <c r="O11" s="43"/>
      <c r="P11" s="43"/>
      <c r="Q11" s="42"/>
      <c r="R11" s="42"/>
      <c r="S11" s="42"/>
      <c r="T11" s="42"/>
      <c r="U11" s="42"/>
      <c r="V11" s="42"/>
      <c r="W11" s="42"/>
      <c r="X11" s="42"/>
      <c r="Y11" s="42"/>
      <c r="Z11" s="42"/>
      <c r="AA11" s="42"/>
      <c r="AB11" s="42"/>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row>
    <row r="12" spans="1:55" x14ac:dyDescent="0.25">
      <c r="A12" s="49"/>
      <c r="B12" s="52">
        <f>IF(H6=0,0,1/H6)</f>
        <v>0</v>
      </c>
      <c r="C12" s="52">
        <f>IF(H7=0,0,1/H7)</f>
        <v>0</v>
      </c>
      <c r="D12" s="52">
        <f>IF(H8=0,0,1/H8)</f>
        <v>0</v>
      </c>
      <c r="E12" s="52">
        <f>IF(H9=0,0,1/H9)</f>
        <v>0</v>
      </c>
      <c r="F12" s="52">
        <f>IF(H10=0,0,1/H10)</f>
        <v>0</v>
      </c>
      <c r="G12" s="52">
        <f>IF(H11=0,0,1/H11)</f>
        <v>0</v>
      </c>
      <c r="H12" s="53">
        <v>1</v>
      </c>
      <c r="I12" s="42"/>
      <c r="J12" s="42"/>
      <c r="K12" s="42"/>
      <c r="L12" s="43"/>
      <c r="M12" s="43"/>
      <c r="N12" s="43"/>
      <c r="O12" s="43"/>
      <c r="P12" s="43"/>
      <c r="Q12" s="42"/>
      <c r="R12" s="42"/>
      <c r="S12" s="42"/>
      <c r="T12" s="42"/>
      <c r="U12" s="42"/>
      <c r="V12" s="42"/>
      <c r="W12" s="42"/>
      <c r="X12" s="42"/>
      <c r="Y12" s="42"/>
      <c r="Z12" s="42"/>
      <c r="AA12" s="42"/>
      <c r="AB12" s="42"/>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row>
    <row r="13" spans="1:55" x14ac:dyDescent="0.25">
      <c r="A13" s="49"/>
      <c r="B13" s="52">
        <f>IF(I6=0,0,1/I6)</f>
        <v>0</v>
      </c>
      <c r="C13" s="52">
        <f>IF(I7=0,0,1/I7)</f>
        <v>0</v>
      </c>
      <c r="D13" s="52">
        <f>IF(I8=0,0,1/I8)</f>
        <v>0</v>
      </c>
      <c r="E13" s="52">
        <f>IF(I9=0,0,1/I9)</f>
        <v>0</v>
      </c>
      <c r="F13" s="52">
        <f>IF(I10=0,0,1/I10)</f>
        <v>0</v>
      </c>
      <c r="G13" s="52">
        <f>IF(I11=0,0,1/I11)</f>
        <v>0</v>
      </c>
      <c r="H13" s="52">
        <f>IF(I12=0,0,1/I12)</f>
        <v>0</v>
      </c>
      <c r="I13" s="53">
        <v>1</v>
      </c>
      <c r="J13" s="42"/>
      <c r="K13" s="42"/>
      <c r="L13" s="42"/>
      <c r="M13" s="42"/>
      <c r="N13" s="43"/>
      <c r="O13" s="43"/>
      <c r="P13" s="43"/>
      <c r="Q13" s="42"/>
      <c r="R13" s="42"/>
      <c r="S13" s="42"/>
      <c r="T13" s="42"/>
      <c r="U13" s="42"/>
      <c r="V13" s="42"/>
      <c r="W13" s="42"/>
      <c r="X13" s="42"/>
      <c r="Y13" s="42"/>
      <c r="Z13" s="42"/>
      <c r="AA13" s="42"/>
      <c r="AB13" s="42"/>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row>
    <row r="14" spans="1:55" x14ac:dyDescent="0.25">
      <c r="A14" s="49"/>
      <c r="B14" s="52">
        <f>IF(J6=0,0,1/J6)</f>
        <v>0</v>
      </c>
      <c r="C14" s="52">
        <f>IF(J7=0,0,1/J7)</f>
        <v>0</v>
      </c>
      <c r="D14" s="52">
        <f>IF(J8=0,0,1/J8)</f>
        <v>0</v>
      </c>
      <c r="E14" s="52">
        <f>IF(J9=0,0,1/J9)</f>
        <v>0</v>
      </c>
      <c r="F14" s="52">
        <f>IF(J10=0,0,1/J10)</f>
        <v>0</v>
      </c>
      <c r="G14" s="52">
        <f>IF(J11=0,0,1/J11)</f>
        <v>0</v>
      </c>
      <c r="H14" s="52">
        <f>IF(J12=0,0,1/J12)</f>
        <v>0</v>
      </c>
      <c r="I14" s="52">
        <f>IF(J13=0,0,1/J13)</f>
        <v>0</v>
      </c>
      <c r="J14" s="53">
        <v>1</v>
      </c>
      <c r="K14" s="42"/>
      <c r="L14" s="42"/>
      <c r="M14" s="42"/>
      <c r="N14" s="42"/>
      <c r="O14" s="42"/>
      <c r="P14" s="42"/>
      <c r="Q14" s="42"/>
      <c r="R14" s="42"/>
      <c r="S14" s="42"/>
      <c r="T14" s="42"/>
      <c r="U14" s="42"/>
      <c r="V14" s="42"/>
      <c r="W14" s="42"/>
      <c r="X14" s="42"/>
      <c r="Y14" s="42"/>
      <c r="Z14" s="42"/>
      <c r="AA14" s="42"/>
      <c r="AB14" s="42"/>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row>
    <row r="15" spans="1:55" x14ac:dyDescent="0.25">
      <c r="A15" s="49"/>
      <c r="B15" s="52">
        <f>IF(K6=0,0,1/K6)</f>
        <v>0</v>
      </c>
      <c r="C15" s="52">
        <f>IF(K7=0,0,1/K7)</f>
        <v>0</v>
      </c>
      <c r="D15" s="52">
        <f>IF(K8=0,0,1/K8)</f>
        <v>0</v>
      </c>
      <c r="E15" s="52">
        <f>IF(K9=0,0,1/K9)</f>
        <v>0</v>
      </c>
      <c r="F15" s="52">
        <f>IF(K10=0,0,1/K10)</f>
        <v>0</v>
      </c>
      <c r="G15" s="52">
        <f>IF(K11=0,0,1/K11)</f>
        <v>0</v>
      </c>
      <c r="H15" s="52">
        <f>IF(K12=0,0,1/K12)</f>
        <v>0</v>
      </c>
      <c r="I15" s="52">
        <f>IF(K13=0,0,1/K13)</f>
        <v>0</v>
      </c>
      <c r="J15" s="52">
        <f>IF(K14=0,0,1/K14)</f>
        <v>0</v>
      </c>
      <c r="K15" s="53">
        <v>1</v>
      </c>
      <c r="L15" s="42"/>
      <c r="M15" s="42"/>
      <c r="N15" s="42"/>
      <c r="O15" s="42"/>
      <c r="P15" s="42"/>
      <c r="Q15" s="42"/>
      <c r="R15" s="42"/>
      <c r="S15" s="42"/>
      <c r="T15" s="42"/>
      <c r="U15" s="42"/>
      <c r="V15" s="42"/>
      <c r="W15" s="42"/>
      <c r="X15" s="42"/>
      <c r="Y15" s="42"/>
      <c r="Z15" s="42"/>
      <c r="AA15" s="42"/>
      <c r="AB15" s="42"/>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row>
    <row r="16" spans="1:55" x14ac:dyDescent="0.25">
      <c r="A16" s="49"/>
      <c r="B16" s="52">
        <f>IF(L6=0,0,1/L6)</f>
        <v>0</v>
      </c>
      <c r="C16" s="52">
        <f>IF(L7=0,0,1/L7)</f>
        <v>0</v>
      </c>
      <c r="D16" s="52">
        <f>IF(L8=0,0,1/L8)</f>
        <v>0</v>
      </c>
      <c r="E16" s="52">
        <f>IF(L9=0,0,1/L9)</f>
        <v>0</v>
      </c>
      <c r="F16" s="52">
        <f>IF(L10=0,0,1/L10)</f>
        <v>0</v>
      </c>
      <c r="G16" s="52">
        <f>IF(L11=0,0,1/L11)</f>
        <v>0</v>
      </c>
      <c r="H16" s="52">
        <f>IF(L12=0,0,1/L12)</f>
        <v>0</v>
      </c>
      <c r="I16" s="52">
        <f>IF(L13=0,0,1/L13)</f>
        <v>0</v>
      </c>
      <c r="J16" s="52">
        <f>IF(L14=0,0,1/L14)</f>
        <v>0</v>
      </c>
      <c r="K16" s="52">
        <f>IF(L15=0,0,1/L15)</f>
        <v>0</v>
      </c>
      <c r="L16" s="53">
        <v>1</v>
      </c>
      <c r="M16" s="42"/>
      <c r="N16" s="42"/>
      <c r="O16" s="42"/>
      <c r="P16" s="42"/>
      <c r="Q16" s="42"/>
      <c r="R16" s="42"/>
      <c r="S16" s="42"/>
      <c r="T16" s="42"/>
      <c r="U16" s="42"/>
      <c r="V16" s="42"/>
      <c r="W16" s="42"/>
      <c r="X16" s="42"/>
      <c r="Y16" s="42"/>
      <c r="Z16" s="42"/>
      <c r="AA16" s="42"/>
      <c r="AB16" s="42"/>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row>
    <row r="17" spans="1:55" x14ac:dyDescent="0.25">
      <c r="A17" s="49"/>
      <c r="B17" s="52">
        <f>IF(M6=0,0,1/M6)</f>
        <v>0</v>
      </c>
      <c r="C17" s="52">
        <f>IF(M7=0,0,1/M7)</f>
        <v>0</v>
      </c>
      <c r="D17" s="52">
        <f>IF(M8=0,0,1/M8)</f>
        <v>0</v>
      </c>
      <c r="E17" s="52">
        <f>IF(M9=0,0,1/M9)</f>
        <v>0</v>
      </c>
      <c r="F17" s="52">
        <f>IF(M10=0,0,1/M10)</f>
        <v>0</v>
      </c>
      <c r="G17" s="52">
        <f>IF(M11=0,0,1/M11)</f>
        <v>0</v>
      </c>
      <c r="H17" s="52">
        <f>IF(M12=0,0,1/M12)</f>
        <v>0</v>
      </c>
      <c r="I17" s="52">
        <f>IF(M13=0,0,1/M13)</f>
        <v>0</v>
      </c>
      <c r="J17" s="52">
        <f>IF(M14=0,0,1/M14)</f>
        <v>0</v>
      </c>
      <c r="K17" s="52">
        <f>IF(M15=0,0,1/M15)</f>
        <v>0</v>
      </c>
      <c r="L17" s="52">
        <f>IF(M16=0,0,1/M16)</f>
        <v>0</v>
      </c>
      <c r="M17" s="53">
        <v>1</v>
      </c>
      <c r="N17" s="42"/>
      <c r="O17" s="42"/>
      <c r="P17" s="42"/>
      <c r="Q17" s="42"/>
      <c r="R17" s="42"/>
      <c r="S17" s="42"/>
      <c r="T17" s="42"/>
      <c r="U17" s="42"/>
      <c r="V17" s="42"/>
      <c r="W17" s="42"/>
      <c r="X17" s="42"/>
      <c r="Y17" s="42"/>
      <c r="Z17" s="42"/>
      <c r="AA17" s="42"/>
      <c r="AB17" s="42"/>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row>
    <row r="18" spans="1:55" x14ac:dyDescent="0.25">
      <c r="A18" s="49"/>
      <c r="B18" s="52">
        <f>IF(N6=0,0,1/N6)</f>
        <v>0</v>
      </c>
      <c r="C18" s="52">
        <f>IF(N7=0,0,1/N7)</f>
        <v>0</v>
      </c>
      <c r="D18" s="52">
        <f>IF(N8=0,0,1/N8)</f>
        <v>0</v>
      </c>
      <c r="E18" s="52">
        <f>IF(N9=0,0,1/N9)</f>
        <v>0</v>
      </c>
      <c r="F18" s="52">
        <f>IF(N10=0,0,1/N10)</f>
        <v>0</v>
      </c>
      <c r="G18" s="52">
        <f>IF(N11=0,0,1/N11)</f>
        <v>0</v>
      </c>
      <c r="H18" s="52">
        <f>IF(N12=0,0,1/N12)</f>
        <v>0</v>
      </c>
      <c r="I18" s="52">
        <f>IF(N13=0,0,1/N13)</f>
        <v>0</v>
      </c>
      <c r="J18" s="52">
        <f>IF(N14=0,0,1/N14)</f>
        <v>0</v>
      </c>
      <c r="K18" s="52">
        <f>IF(N15=0,0,1/N15)</f>
        <v>0</v>
      </c>
      <c r="L18" s="52">
        <f>IF(N16=0,0,1/N16)</f>
        <v>0</v>
      </c>
      <c r="M18" s="52">
        <f>IF(N17=0,0,1/N17)</f>
        <v>0</v>
      </c>
      <c r="N18" s="53">
        <v>1</v>
      </c>
      <c r="O18" s="42"/>
      <c r="P18" s="42"/>
      <c r="Q18" s="42"/>
      <c r="R18" s="42"/>
      <c r="S18" s="42"/>
      <c r="T18" s="42"/>
      <c r="U18" s="42"/>
      <c r="V18" s="42"/>
      <c r="W18" s="42"/>
      <c r="X18" s="42"/>
      <c r="Y18" s="42"/>
      <c r="Z18" s="42"/>
      <c r="AA18" s="42"/>
      <c r="AB18" s="42"/>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row>
    <row r="19" spans="1:55" x14ac:dyDescent="0.25">
      <c r="A19" s="49"/>
      <c r="B19" s="52">
        <f>IF(O6=0,0,1/O6)</f>
        <v>0</v>
      </c>
      <c r="C19" s="52">
        <f>IF(O7=0,0,1/O7)</f>
        <v>0</v>
      </c>
      <c r="D19" s="52">
        <f>IF(O8=0,0,1/O8)</f>
        <v>0</v>
      </c>
      <c r="E19" s="52">
        <f>IF(O9=0,0,1/O9)</f>
        <v>0</v>
      </c>
      <c r="F19" s="52">
        <f>IF(O10=0,0,1/O10)</f>
        <v>0</v>
      </c>
      <c r="G19" s="52">
        <f>IF(O11=0,0,1/O11)</f>
        <v>0</v>
      </c>
      <c r="H19" s="52">
        <f>IF(O12=0,0,1/O12)</f>
        <v>0</v>
      </c>
      <c r="I19" s="52">
        <f>IF(O13=0,0,1/O13)</f>
        <v>0</v>
      </c>
      <c r="J19" s="52">
        <f>IF(O14=0,0,1/O14)</f>
        <v>0</v>
      </c>
      <c r="K19" s="52">
        <f>IF(O15=0,0,1/O15)</f>
        <v>0</v>
      </c>
      <c r="L19" s="52">
        <f>IF(O16=0,0,1/O16)</f>
        <v>0</v>
      </c>
      <c r="M19" s="52">
        <f>IF(O17=0,0,1/O17)</f>
        <v>0</v>
      </c>
      <c r="N19" s="52">
        <f>IF(O18=0,0,1/O18)</f>
        <v>0</v>
      </c>
      <c r="O19" s="53">
        <v>1</v>
      </c>
      <c r="P19" s="42"/>
      <c r="Q19" s="42"/>
      <c r="R19" s="42"/>
      <c r="S19" s="42"/>
      <c r="T19" s="42"/>
      <c r="U19" s="42"/>
      <c r="V19" s="42"/>
      <c r="W19" s="42"/>
      <c r="X19" s="42"/>
      <c r="Y19" s="42"/>
      <c r="Z19" s="42"/>
      <c r="AA19" s="42"/>
      <c r="AB19" s="42"/>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row>
    <row r="20" spans="1:55" x14ac:dyDescent="0.25">
      <c r="A20" s="49"/>
      <c r="B20" s="52">
        <f>IF(P6=0,0,1/P6)</f>
        <v>0</v>
      </c>
      <c r="C20" s="52">
        <f>IF(P7=0,0,1/P7)</f>
        <v>0</v>
      </c>
      <c r="D20" s="52">
        <f>IF(P8=0,0,1/P8)</f>
        <v>0</v>
      </c>
      <c r="E20" s="52">
        <f>IF(P9=0,0,1/P9)</f>
        <v>0</v>
      </c>
      <c r="F20" s="52">
        <f>IF(P10=0,0,1/P10)</f>
        <v>0</v>
      </c>
      <c r="G20" s="52">
        <f>IF(P11=0,0,1/P11)</f>
        <v>0</v>
      </c>
      <c r="H20" s="52">
        <f>IF(P12=0,0,1/P12)</f>
        <v>0</v>
      </c>
      <c r="I20" s="52">
        <f>IF(P13=0,0,1/P13)</f>
        <v>0</v>
      </c>
      <c r="J20" s="52">
        <f>IF(P14=0,0,1/P14)</f>
        <v>0</v>
      </c>
      <c r="K20" s="52">
        <f>IF(P15=0,0,1/P15)</f>
        <v>0</v>
      </c>
      <c r="L20" s="52">
        <f>IF(P16=0,0,1/P16)</f>
        <v>0</v>
      </c>
      <c r="M20" s="52">
        <f>IF(P17=0,0,1/P17)</f>
        <v>0</v>
      </c>
      <c r="N20" s="52">
        <f>IF(P18=0,0,1/P18)</f>
        <v>0</v>
      </c>
      <c r="O20" s="52">
        <f>IF(P19=0,0,1/P19)</f>
        <v>0</v>
      </c>
      <c r="P20" s="53">
        <v>1</v>
      </c>
      <c r="Q20" s="42"/>
      <c r="R20" s="42"/>
      <c r="S20" s="42"/>
      <c r="T20" s="42"/>
      <c r="U20" s="42"/>
      <c r="V20" s="42"/>
      <c r="W20" s="42"/>
      <c r="X20" s="42"/>
      <c r="Y20" s="42"/>
      <c r="Z20" s="42"/>
      <c r="AA20" s="42"/>
      <c r="AB20" s="42"/>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row>
    <row r="21" spans="1:55" x14ac:dyDescent="0.25">
      <c r="A21" s="49"/>
      <c r="B21" s="52">
        <f>IF(Q6=0,0,1/Q6)</f>
        <v>0</v>
      </c>
      <c r="C21" s="52">
        <f>IF(Q7=0,0,1/Q7)</f>
        <v>0</v>
      </c>
      <c r="D21" s="52">
        <f>IF(Q8=0,0,1/Q8)</f>
        <v>0</v>
      </c>
      <c r="E21" s="52">
        <f>IF(Q9=0,0,1/Q9)</f>
        <v>0</v>
      </c>
      <c r="F21" s="52">
        <f>IF(Q10=0,0,1/Q10)</f>
        <v>0</v>
      </c>
      <c r="G21" s="52">
        <f>IF(Q11=0,0,1/Q11)</f>
        <v>0</v>
      </c>
      <c r="H21" s="52">
        <f>IF(Q12=0,0,1/Q12)</f>
        <v>0</v>
      </c>
      <c r="I21" s="52">
        <f>IF(Q13=0,0,1/Q13)</f>
        <v>0</v>
      </c>
      <c r="J21" s="52">
        <f>IF(Q14=0,0,1/Q14)</f>
        <v>0</v>
      </c>
      <c r="K21" s="52">
        <f>IF(Q15=0,0,1/Q15)</f>
        <v>0</v>
      </c>
      <c r="L21" s="52">
        <f>IF(Q16=0,0,1/Q16)</f>
        <v>0</v>
      </c>
      <c r="M21" s="52">
        <f>IF(Q17=0,0,1/Q17)</f>
        <v>0</v>
      </c>
      <c r="N21" s="52">
        <f>IF(Q18=0,0,1/Q18)</f>
        <v>0</v>
      </c>
      <c r="O21" s="52">
        <f>IF(Q19=0,0,1/Q19)</f>
        <v>0</v>
      </c>
      <c r="P21" s="52">
        <f>IF(Q20=0,0,1/Q20)</f>
        <v>0</v>
      </c>
      <c r="Q21" s="53">
        <v>1</v>
      </c>
      <c r="R21" s="42"/>
      <c r="S21" s="42"/>
      <c r="T21" s="42"/>
      <c r="U21" s="42"/>
      <c r="V21" s="42"/>
      <c r="W21" s="42"/>
      <c r="X21" s="42"/>
      <c r="Y21" s="42"/>
      <c r="Z21" s="42"/>
      <c r="AA21" s="42"/>
      <c r="AB21" s="42"/>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row>
    <row r="22" spans="1:55" x14ac:dyDescent="0.25">
      <c r="A22" s="49"/>
      <c r="B22" s="52">
        <f>IF(R6=0,0,1/R6)</f>
        <v>0</v>
      </c>
      <c r="C22" s="52">
        <f>IF(R7=0,0,1/R7)</f>
        <v>0</v>
      </c>
      <c r="D22" s="52">
        <f>IF(R8=0,0,1/R8)</f>
        <v>0</v>
      </c>
      <c r="E22" s="52">
        <f>IF(R9=0,0,1/R9)</f>
        <v>0</v>
      </c>
      <c r="F22" s="52">
        <f>IF(R10=0,0,1/R10)</f>
        <v>0</v>
      </c>
      <c r="G22" s="52">
        <f>IF(R11=0,0,1/R11)</f>
        <v>0</v>
      </c>
      <c r="H22" s="52">
        <f>IF(R12=0,0,1/R12)</f>
        <v>0</v>
      </c>
      <c r="I22" s="52">
        <f>IF(R13=0,0,1/R13)</f>
        <v>0</v>
      </c>
      <c r="J22" s="52">
        <f>IF(R14=0,0,1/R14)</f>
        <v>0</v>
      </c>
      <c r="K22" s="52">
        <f>IF(R15=0,0,1/R15)</f>
        <v>0</v>
      </c>
      <c r="L22" s="52">
        <f>IF(R16=0,0,1/R16)</f>
        <v>0</v>
      </c>
      <c r="M22" s="52">
        <f>IF(R17=0,0,1/R17)</f>
        <v>0</v>
      </c>
      <c r="N22" s="52">
        <f>IF(R18=0,0,1/R18)</f>
        <v>0</v>
      </c>
      <c r="O22" s="52">
        <f>IF(R19=0,0,1/R19)</f>
        <v>0</v>
      </c>
      <c r="P22" s="52">
        <f>IF(R20=0,0,1/R20)</f>
        <v>0</v>
      </c>
      <c r="Q22" s="52">
        <f>IF(R21=0,0,1/R21)</f>
        <v>0</v>
      </c>
      <c r="R22" s="53">
        <v>1</v>
      </c>
      <c r="S22" s="42"/>
      <c r="T22" s="42"/>
      <c r="U22" s="42"/>
      <c r="V22" s="42"/>
      <c r="W22" s="42"/>
      <c r="X22" s="42"/>
      <c r="Y22" s="42"/>
      <c r="Z22" s="42"/>
      <c r="AA22" s="42"/>
      <c r="AB22" s="42"/>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row>
    <row r="23" spans="1:55" x14ac:dyDescent="0.25">
      <c r="A23" s="49"/>
      <c r="B23" s="52">
        <f>IF(S6=0,0,1/S6)</f>
        <v>0</v>
      </c>
      <c r="C23" s="52">
        <f>IF(S7=0,0,1/S7)</f>
        <v>0</v>
      </c>
      <c r="D23" s="52">
        <f>IF(S8=0,0,1/S8)</f>
        <v>0</v>
      </c>
      <c r="E23" s="52">
        <f>IF(S9=0,0,1/S9)</f>
        <v>0</v>
      </c>
      <c r="F23" s="52">
        <f>IF(S10=0,0,1/S10)</f>
        <v>0</v>
      </c>
      <c r="G23" s="52">
        <f>IF(S11=0,0,1/S11)</f>
        <v>0</v>
      </c>
      <c r="H23" s="52">
        <f>IF(S12=0,0,1/S12)</f>
        <v>0</v>
      </c>
      <c r="I23" s="52">
        <f>IF(S13=0,0,1/S13)</f>
        <v>0</v>
      </c>
      <c r="J23" s="52">
        <f>IF(S14=0,0,1/S14)</f>
        <v>0</v>
      </c>
      <c r="K23" s="52">
        <f>IF(S15=0,0,1/S15)</f>
        <v>0</v>
      </c>
      <c r="L23" s="52">
        <f>IF(S16=0,0,1/S16)</f>
        <v>0</v>
      </c>
      <c r="M23" s="52">
        <f>IF(S17=0,0,1/S17)</f>
        <v>0</v>
      </c>
      <c r="N23" s="52">
        <f>IF(S18=0,0,1/S18)</f>
        <v>0</v>
      </c>
      <c r="O23" s="52">
        <f>IF(S19=0,0,1/S19)</f>
        <v>0</v>
      </c>
      <c r="P23" s="52">
        <f>IF(S20=0,0,1/S20)</f>
        <v>0</v>
      </c>
      <c r="Q23" s="52">
        <f>IF(S21=0,0,1/S21)</f>
        <v>0</v>
      </c>
      <c r="R23" s="52">
        <f>IF(S22=0,0,1/S22)</f>
        <v>0</v>
      </c>
      <c r="S23" s="53">
        <v>1</v>
      </c>
      <c r="T23" s="42"/>
      <c r="U23" s="42"/>
      <c r="V23" s="42"/>
      <c r="W23" s="42"/>
      <c r="X23" s="42"/>
      <c r="Y23" s="42"/>
      <c r="Z23" s="42"/>
      <c r="AA23" s="42"/>
      <c r="AB23" s="42"/>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row>
    <row r="24" spans="1:55" x14ac:dyDescent="0.25">
      <c r="A24" s="49"/>
      <c r="B24" s="52">
        <f>IF(T6=0,0,1/T6)</f>
        <v>0</v>
      </c>
      <c r="C24" s="52">
        <f>IF(T7=0,0,1/T7)</f>
        <v>0</v>
      </c>
      <c r="D24" s="52">
        <f>IF(T8=0,0,1/T8)</f>
        <v>0</v>
      </c>
      <c r="E24" s="52">
        <f>IF(T9=0,0,1/T9)</f>
        <v>0</v>
      </c>
      <c r="F24" s="52">
        <f>IF(T10=0,0,1/T10)</f>
        <v>0</v>
      </c>
      <c r="G24" s="52">
        <f>IF(T11=0,0,1/T11)</f>
        <v>0</v>
      </c>
      <c r="H24" s="52">
        <f>IF(T12=0,0,1/T12)</f>
        <v>0</v>
      </c>
      <c r="I24" s="52">
        <f>IF(T13=0,0,1/T13)</f>
        <v>0</v>
      </c>
      <c r="J24" s="52">
        <f>IF(T14=0,0,1/T14)</f>
        <v>0</v>
      </c>
      <c r="K24" s="52">
        <f>IF(T15=0,0,1/T15)</f>
        <v>0</v>
      </c>
      <c r="L24" s="52">
        <f>IF(T16=0,0,1/T16)</f>
        <v>0</v>
      </c>
      <c r="M24" s="52">
        <f>IF(T17=0,0,1/T17)</f>
        <v>0</v>
      </c>
      <c r="N24" s="52">
        <f>IF(T18=0,0,1/T18)</f>
        <v>0</v>
      </c>
      <c r="O24" s="52">
        <f>IF(T19=0,0,1/T19)</f>
        <v>0</v>
      </c>
      <c r="P24" s="52">
        <f>IF(T20=0,0,1/T20)</f>
        <v>0</v>
      </c>
      <c r="Q24" s="52">
        <f>IF(T21=0,0,1/T21)</f>
        <v>0</v>
      </c>
      <c r="R24" s="52">
        <f>IF(T22=0,0,1/T22)</f>
        <v>0</v>
      </c>
      <c r="S24" s="52">
        <f>IF(T23=0,0,1/T23)</f>
        <v>0</v>
      </c>
      <c r="T24" s="53">
        <v>1</v>
      </c>
      <c r="U24" s="42"/>
      <c r="V24" s="42"/>
      <c r="W24" s="42"/>
      <c r="X24" s="42"/>
      <c r="Y24" s="42"/>
      <c r="Z24" s="42"/>
      <c r="AA24" s="42"/>
      <c r="AB24" s="42"/>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row>
    <row r="25" spans="1:55" x14ac:dyDescent="0.25">
      <c r="A25" s="49"/>
      <c r="B25" s="52">
        <f>IF(U6=0,0,1/U6)</f>
        <v>0</v>
      </c>
      <c r="C25" s="52">
        <f>IF(U7=0,0,1/U7)</f>
        <v>0</v>
      </c>
      <c r="D25" s="52">
        <f>IF(U8=0,0,1/U8)</f>
        <v>0</v>
      </c>
      <c r="E25" s="52">
        <f>IF(U9=0,0,1/U9)</f>
        <v>0</v>
      </c>
      <c r="F25" s="52">
        <f>IF(U10=0,0,1/U10)</f>
        <v>0</v>
      </c>
      <c r="G25" s="52">
        <f>IF(U11=0,0,1/U11)</f>
        <v>0</v>
      </c>
      <c r="H25" s="52">
        <f>IF(U12=0,0,1/U12)</f>
        <v>0</v>
      </c>
      <c r="I25" s="52">
        <f>IF(U13=0,0,1/U13)</f>
        <v>0</v>
      </c>
      <c r="J25" s="52">
        <f>IF(U14=0,0,1/U14)</f>
        <v>0</v>
      </c>
      <c r="K25" s="52">
        <f>IF(U15=0,0,1/U15)</f>
        <v>0</v>
      </c>
      <c r="L25" s="52">
        <f>IF(U16=0,0,1/U16)</f>
        <v>0</v>
      </c>
      <c r="M25" s="52">
        <f>IF(U17=0,0,1/U17)</f>
        <v>0</v>
      </c>
      <c r="N25" s="52">
        <f>IF(U18=0,0,1/U18)</f>
        <v>0</v>
      </c>
      <c r="O25" s="52">
        <f>IF(U19=0,0,1/U19)</f>
        <v>0</v>
      </c>
      <c r="P25" s="52">
        <f>IF(U20=0,0,1/U20)</f>
        <v>0</v>
      </c>
      <c r="Q25" s="52">
        <f>IF(U21=0,0,1/U21)</f>
        <v>0</v>
      </c>
      <c r="R25" s="52">
        <f>IF(U22=0,0,1/U22)</f>
        <v>0</v>
      </c>
      <c r="S25" s="52">
        <f>IF(U23=0,0,1/U23)</f>
        <v>0</v>
      </c>
      <c r="T25" s="52">
        <f>IF(U24=0,0,1/U24)</f>
        <v>0</v>
      </c>
      <c r="U25" s="53">
        <v>1</v>
      </c>
      <c r="V25" s="42"/>
      <c r="W25" s="42"/>
      <c r="X25" s="42"/>
      <c r="Y25" s="42"/>
      <c r="Z25" s="42"/>
      <c r="AA25" s="42"/>
      <c r="AB25" s="42"/>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row>
    <row r="26" spans="1:55" x14ac:dyDescent="0.25">
      <c r="A26" s="49"/>
      <c r="B26" s="52">
        <f>IF(V6=0,0,1/V6)</f>
        <v>0</v>
      </c>
      <c r="C26" s="52">
        <f>IF(V7=0,0,1/V7)</f>
        <v>0</v>
      </c>
      <c r="D26" s="52">
        <f>IF(V8=0,0,1/V8)</f>
        <v>0</v>
      </c>
      <c r="E26" s="52">
        <f>IF(V9=0,0,1/V9)</f>
        <v>0</v>
      </c>
      <c r="F26" s="52">
        <f>IF(V10=0,0,1/V10)</f>
        <v>0</v>
      </c>
      <c r="G26" s="52">
        <f>IF(V11=0,0,1/V11)</f>
        <v>0</v>
      </c>
      <c r="H26" s="52">
        <f>IF(V12=0,0,1/V12)</f>
        <v>0</v>
      </c>
      <c r="I26" s="52">
        <f>IF(V13=0,0,1/V13)</f>
        <v>0</v>
      </c>
      <c r="J26" s="52">
        <f>IF(V14=0,0,1/V14)</f>
        <v>0</v>
      </c>
      <c r="K26" s="52">
        <f>IF(V15=0,0,1/V15)</f>
        <v>0</v>
      </c>
      <c r="L26" s="52">
        <f>IF(V16=0,0,1/V16)</f>
        <v>0</v>
      </c>
      <c r="M26" s="52">
        <f>IF(V17=0,0,1/V17)</f>
        <v>0</v>
      </c>
      <c r="N26" s="52">
        <f>IF(V18=0,0,1/V18)</f>
        <v>0</v>
      </c>
      <c r="O26" s="52">
        <f>IF(V19=0,0,1/V19)</f>
        <v>0</v>
      </c>
      <c r="P26" s="52">
        <f>IF(V20=0,0,1/V20)</f>
        <v>0</v>
      </c>
      <c r="Q26" s="52">
        <f>IF(V21=0,0,1/V21)</f>
        <v>0</v>
      </c>
      <c r="R26" s="52">
        <f>IF(V22=0,0,1/V22)</f>
        <v>0</v>
      </c>
      <c r="S26" s="52">
        <f>IF(V23=0,0,1/V23)</f>
        <v>0</v>
      </c>
      <c r="T26" s="52">
        <f>IF(V24=0,0,1/V24)</f>
        <v>0</v>
      </c>
      <c r="U26" s="52">
        <f>IF(V25=0,0,1/V25)</f>
        <v>0</v>
      </c>
      <c r="V26" s="53">
        <v>1</v>
      </c>
      <c r="W26" s="42"/>
      <c r="X26" s="42"/>
      <c r="Y26" s="42"/>
      <c r="Z26" s="42"/>
      <c r="AA26" s="42"/>
      <c r="AB26" s="42"/>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row>
    <row r="27" spans="1:55" x14ac:dyDescent="0.25">
      <c r="A27" s="49"/>
      <c r="B27" s="52">
        <f>IF(W6=0,0,1/W6)</f>
        <v>0</v>
      </c>
      <c r="C27" s="52">
        <f>IF(W7=0,0,1/W7)</f>
        <v>0</v>
      </c>
      <c r="D27" s="52">
        <f>IF(W8=0,0,1/W8)</f>
        <v>0</v>
      </c>
      <c r="E27" s="52">
        <f>IF(W9=0,0,1/W9)</f>
        <v>0</v>
      </c>
      <c r="F27" s="52">
        <f>IF(W10=0,0,1/W10)</f>
        <v>0</v>
      </c>
      <c r="G27" s="52">
        <f>IF(W11=0,0,1/W11)</f>
        <v>0</v>
      </c>
      <c r="H27" s="52">
        <f>IF(W12=0,0,1/W12)</f>
        <v>0</v>
      </c>
      <c r="I27" s="52">
        <f>IF(W13=0,0,1/W13)</f>
        <v>0</v>
      </c>
      <c r="J27" s="52">
        <f>IF(W14=0,0,1/W14)</f>
        <v>0</v>
      </c>
      <c r="K27" s="52">
        <f>IF(W15=0,0,1/W15)</f>
        <v>0</v>
      </c>
      <c r="L27" s="52">
        <f>IF(W16=0,0,1/W16)</f>
        <v>0</v>
      </c>
      <c r="M27" s="52">
        <f>IF(W17=0,0,1/W17)</f>
        <v>0</v>
      </c>
      <c r="N27" s="52">
        <f>IF(W18=0,0,1/W18)</f>
        <v>0</v>
      </c>
      <c r="O27" s="52">
        <f>IF(W19=0,0,1/W19)</f>
        <v>0</v>
      </c>
      <c r="P27" s="52">
        <f>IF(W20=0,0,1/W20)</f>
        <v>0</v>
      </c>
      <c r="Q27" s="52">
        <f>IF(W21=0,0,1/W21)</f>
        <v>0</v>
      </c>
      <c r="R27" s="52">
        <f>IF(W22=0,0,1/W22)</f>
        <v>0</v>
      </c>
      <c r="S27" s="52">
        <f>IF(W23=0,0,1/W23)</f>
        <v>0</v>
      </c>
      <c r="T27" s="52">
        <f>IF(W24=0,0,1/W24)</f>
        <v>0</v>
      </c>
      <c r="U27" s="52">
        <f>IF(W25=0,0,1/W25)</f>
        <v>0</v>
      </c>
      <c r="V27" s="52">
        <f>IF(W26=0,0,1/W26)</f>
        <v>0</v>
      </c>
      <c r="W27" s="53">
        <v>1</v>
      </c>
      <c r="X27" s="42"/>
      <c r="Y27" s="42"/>
      <c r="Z27" s="42"/>
      <c r="AA27" s="42"/>
      <c r="AB27" s="42"/>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row>
    <row r="28" spans="1:55" x14ac:dyDescent="0.25">
      <c r="A28" s="49"/>
      <c r="B28" s="52">
        <f>IF(X6=0,0,1/X6)</f>
        <v>0</v>
      </c>
      <c r="C28" s="52">
        <f>IF(X7=0,0,1/X7)</f>
        <v>0</v>
      </c>
      <c r="D28" s="52">
        <f>IF(X8=0,0,1/X8)</f>
        <v>0</v>
      </c>
      <c r="E28" s="52">
        <f>IF(X9=0,0,1/X9)</f>
        <v>0</v>
      </c>
      <c r="F28" s="52">
        <f>IF(X10=0,0,1/X10)</f>
        <v>0</v>
      </c>
      <c r="G28" s="52">
        <f>IF(X11=0,0,1/X11)</f>
        <v>0</v>
      </c>
      <c r="H28" s="52">
        <f>IF(X12=0,0,1/X12)</f>
        <v>0</v>
      </c>
      <c r="I28" s="52">
        <f>IF(X13=0,0,1/X13)</f>
        <v>0</v>
      </c>
      <c r="J28" s="52">
        <f>IF(X14=0,0,1/X14)</f>
        <v>0</v>
      </c>
      <c r="K28" s="52">
        <f>IF(X15=0,0,1/X15)</f>
        <v>0</v>
      </c>
      <c r="L28" s="52">
        <f>IF(X16=0,0,1/X16)</f>
        <v>0</v>
      </c>
      <c r="M28" s="52">
        <f>IF(X17=0,0,1/X17)</f>
        <v>0</v>
      </c>
      <c r="N28" s="52">
        <f>IF(X18=0,0,1/X18)</f>
        <v>0</v>
      </c>
      <c r="O28" s="52">
        <f>IF(X19=0,0,1/X19)</f>
        <v>0</v>
      </c>
      <c r="P28" s="52">
        <f>IF(X20=0,0,1/X20)</f>
        <v>0</v>
      </c>
      <c r="Q28" s="52">
        <f>IF(X21=0,0,1/X21)</f>
        <v>0</v>
      </c>
      <c r="R28" s="52">
        <f>IF(X22=0,0,1/X22)</f>
        <v>0</v>
      </c>
      <c r="S28" s="52">
        <f>IF(X23=0,0,1/X23)</f>
        <v>0</v>
      </c>
      <c r="T28" s="52">
        <f>IF(X24=0,0,1/X24)</f>
        <v>0</v>
      </c>
      <c r="U28" s="52">
        <f>IF(X25=0,0,1/X25)</f>
        <v>0</v>
      </c>
      <c r="V28" s="52">
        <f>IF(X26=0,0,1/X26)</f>
        <v>0</v>
      </c>
      <c r="W28" s="52">
        <f>IF(X27=0,0,1/X27)</f>
        <v>0</v>
      </c>
      <c r="X28" s="53">
        <v>1</v>
      </c>
      <c r="Y28" s="42"/>
      <c r="Z28" s="42"/>
      <c r="AA28" s="42"/>
      <c r="AB28" s="42"/>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row>
    <row r="29" spans="1:55" x14ac:dyDescent="0.25">
      <c r="A29" s="49"/>
      <c r="B29" s="52">
        <f>IF(Y6=0,0,1/Y6)</f>
        <v>0</v>
      </c>
      <c r="C29" s="52">
        <f>IF(Y7=0,0,1/Y7)</f>
        <v>0</v>
      </c>
      <c r="D29" s="52">
        <f>IF(Y8=0,0,1/Y8)</f>
        <v>0</v>
      </c>
      <c r="E29" s="52">
        <f>IF(Y9=0,0,1/Y9)</f>
        <v>0</v>
      </c>
      <c r="F29" s="52">
        <f>IF(Y10=0,0,1/Y10)</f>
        <v>0</v>
      </c>
      <c r="G29" s="52">
        <f>IF(Y11=0,0,1/Y11)</f>
        <v>0</v>
      </c>
      <c r="H29" s="52">
        <f>IF(Y12=0,0,1/Y12)</f>
        <v>0</v>
      </c>
      <c r="I29" s="52">
        <f>IF(Y13=0,0,1/Y13)</f>
        <v>0</v>
      </c>
      <c r="J29" s="52">
        <f>IF(Y14=0,0,1/Y14)</f>
        <v>0</v>
      </c>
      <c r="K29" s="52">
        <f>IF(Y15=0,0,1/Y15)</f>
        <v>0</v>
      </c>
      <c r="L29" s="52">
        <f>IF(Y16=0,0,1/Y16)</f>
        <v>0</v>
      </c>
      <c r="M29" s="52">
        <f>IF(Y17=0,0,1/Y17)</f>
        <v>0</v>
      </c>
      <c r="N29" s="52">
        <f>IF(Y18=0,0,1/Y18)</f>
        <v>0</v>
      </c>
      <c r="O29" s="52">
        <f>IF(Y19=0,0,1/Y19)</f>
        <v>0</v>
      </c>
      <c r="P29" s="52">
        <f>IF(Y20=0,0,1/Y20)</f>
        <v>0</v>
      </c>
      <c r="Q29" s="52">
        <f>IF(Y21=0,0,1/Y21)</f>
        <v>0</v>
      </c>
      <c r="R29" s="52">
        <f>IF(Y22=0,0,1/Y22)</f>
        <v>0</v>
      </c>
      <c r="S29" s="52">
        <f>IF(Y23=0,0,1/Y23)</f>
        <v>0</v>
      </c>
      <c r="T29" s="52">
        <f>IF(Y24=0,0,1/Y24)</f>
        <v>0</v>
      </c>
      <c r="U29" s="52">
        <f>IF(Y25=0,0,1/Y25)</f>
        <v>0</v>
      </c>
      <c r="V29" s="52">
        <f>IF(Y26=0,0,1/Y26)</f>
        <v>0</v>
      </c>
      <c r="W29" s="52">
        <f>IF(Y27=0,0,1/Y27)</f>
        <v>0</v>
      </c>
      <c r="X29" s="52">
        <f>IF(Y28=0,0,1/Y28)</f>
        <v>0</v>
      </c>
      <c r="Y29" s="53">
        <v>1</v>
      </c>
      <c r="Z29" s="42"/>
      <c r="AA29" s="42"/>
      <c r="AB29" s="42"/>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row>
    <row r="30" spans="1:55" x14ac:dyDescent="0.25">
      <c r="A30" s="49"/>
      <c r="B30" s="52">
        <f>IF(Z6=0,0,1/Z6)</f>
        <v>0</v>
      </c>
      <c r="C30" s="52">
        <f>IF(Z7=0,0,1/Z7)</f>
        <v>0</v>
      </c>
      <c r="D30" s="52">
        <f>IF(Z8=0,0,1/Z8)</f>
        <v>0</v>
      </c>
      <c r="E30" s="52">
        <f>IF(Z9=0,0,1/Z9)</f>
        <v>0</v>
      </c>
      <c r="F30" s="52">
        <f>IF(Z10=0,0,1/Z10)</f>
        <v>0</v>
      </c>
      <c r="G30" s="52">
        <f>IF(Z11=0,0,1/Z11)</f>
        <v>0</v>
      </c>
      <c r="H30" s="52">
        <f>IF(Z12=0,0,1/Z12)</f>
        <v>0</v>
      </c>
      <c r="I30" s="52">
        <f>IF(Z13=0,0,1/Z13)</f>
        <v>0</v>
      </c>
      <c r="J30" s="52">
        <f>IF(Z14=0,0,1/Z14)</f>
        <v>0</v>
      </c>
      <c r="K30" s="52">
        <f>IF(Z15=0,0,1/Z15)</f>
        <v>0</v>
      </c>
      <c r="L30" s="52">
        <f>IF(Z16=0,0,1/Z16)</f>
        <v>0</v>
      </c>
      <c r="M30" s="52">
        <f>IF(Z17=0,0,1/Z17)</f>
        <v>0</v>
      </c>
      <c r="N30" s="52">
        <f>IF(Z18=0,0,1/Z18)</f>
        <v>0</v>
      </c>
      <c r="O30" s="52">
        <f>IF(Z19=0,0,1/Z19)</f>
        <v>0</v>
      </c>
      <c r="P30" s="52">
        <f>IF(Z20=0,0,1/Z20)</f>
        <v>0</v>
      </c>
      <c r="Q30" s="52">
        <f>IF(Z21=0,0,1/Z21)</f>
        <v>0</v>
      </c>
      <c r="R30" s="52">
        <f>IF(Z22=0,0,1/Z22)</f>
        <v>0</v>
      </c>
      <c r="S30" s="52">
        <f>IF(Z23=0,0,1/Z23)</f>
        <v>0</v>
      </c>
      <c r="T30" s="52">
        <f>IF(Z24=0,0,1/Z24)</f>
        <v>0</v>
      </c>
      <c r="U30" s="52">
        <f>IF(Z25=0,0,1/Z25)</f>
        <v>0</v>
      </c>
      <c r="V30" s="52">
        <f>IF(Z26=0,0,1/Z26)</f>
        <v>0</v>
      </c>
      <c r="W30" s="52">
        <f>IF(Z27=0,0,1/Z27)</f>
        <v>0</v>
      </c>
      <c r="X30" s="52">
        <f>IF(Z28=0,0,1/Z28)</f>
        <v>0</v>
      </c>
      <c r="Y30" s="52">
        <f>IF(Z29=0,0,1/Z29)</f>
        <v>0</v>
      </c>
      <c r="Z30" s="53">
        <v>1</v>
      </c>
      <c r="AA30" s="42"/>
      <c r="AB30" s="42"/>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row>
    <row r="31" spans="1:55" x14ac:dyDescent="0.25">
      <c r="A31" s="49"/>
      <c r="B31" s="52">
        <f>IF(AA6=0,0,1/AA6)</f>
        <v>0</v>
      </c>
      <c r="C31" s="52">
        <f>IF(AA7=0,0,1/AA7)</f>
        <v>0</v>
      </c>
      <c r="D31" s="52">
        <f>IF(AA8=0,0,1/AA8)</f>
        <v>0</v>
      </c>
      <c r="E31" s="52">
        <f>IF(AA9=0,0,1/AA9)</f>
        <v>0</v>
      </c>
      <c r="F31" s="52">
        <f>IF(AA10=0,0,1/AA10)</f>
        <v>0</v>
      </c>
      <c r="G31" s="52">
        <f>IF(AA11=0,0,1/AA11)</f>
        <v>0</v>
      </c>
      <c r="H31" s="52">
        <f>IF(AA12=0,0,1/AA12)</f>
        <v>0</v>
      </c>
      <c r="I31" s="52">
        <f>IF(AA13=0,0,1/AA13)</f>
        <v>0</v>
      </c>
      <c r="J31" s="52">
        <f>IF(AA14=0,0,1/AA14)</f>
        <v>0</v>
      </c>
      <c r="K31" s="52">
        <f>IF(AA15=0,0,1/AA15)</f>
        <v>0</v>
      </c>
      <c r="L31" s="52">
        <f>IF(AA16=0,0,1/AA16)</f>
        <v>0</v>
      </c>
      <c r="M31" s="52">
        <f>IF(AA17=0,0,1/AA17)</f>
        <v>0</v>
      </c>
      <c r="N31" s="52">
        <f>IF(AA18=0,0,1/AA18)</f>
        <v>0</v>
      </c>
      <c r="O31" s="52">
        <f>IF(AA19=0,0,1/AA19)</f>
        <v>0</v>
      </c>
      <c r="P31" s="52">
        <f>IF(AA20=0,0,1/AA20)</f>
        <v>0</v>
      </c>
      <c r="Q31" s="52">
        <f>IF(AA21=0,0,1/AA21)</f>
        <v>0</v>
      </c>
      <c r="R31" s="52">
        <f>IF(AA22=0,0,1/AA22)</f>
        <v>0</v>
      </c>
      <c r="S31" s="52">
        <f>IF(AA23=0,0,1/AA23)</f>
        <v>0</v>
      </c>
      <c r="T31" s="52">
        <f>IF(AA24=0,0,1/AA24)</f>
        <v>0</v>
      </c>
      <c r="U31" s="52">
        <f>IF(AA25=0,0,1/AA25)</f>
        <v>0</v>
      </c>
      <c r="V31" s="52">
        <f>IF(AA26=0,0,1/AA26)</f>
        <v>0</v>
      </c>
      <c r="W31" s="52">
        <f>IF(AA27=0,0,1/AA27)</f>
        <v>0</v>
      </c>
      <c r="X31" s="52">
        <f>IF(AA28=0,0,1/AA28)</f>
        <v>0</v>
      </c>
      <c r="Y31" s="52">
        <f>IF(AA29=0,0,1/AA29)</f>
        <v>0</v>
      </c>
      <c r="Z31" s="52">
        <f>IF(AA30=0,0,1/AA30)</f>
        <v>0</v>
      </c>
      <c r="AA31" s="53">
        <v>1</v>
      </c>
      <c r="AB31" s="42"/>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row>
    <row r="32" spans="1:55" x14ac:dyDescent="0.25">
      <c r="A32" s="49"/>
      <c r="B32" s="52">
        <f>IF(AB6=0,0,1/AB6)</f>
        <v>0</v>
      </c>
      <c r="C32" s="52">
        <f>IF(AB7=0,0,1/AB7)</f>
        <v>0</v>
      </c>
      <c r="D32" s="52">
        <f>IF(AB8=0,0,1/AB8)</f>
        <v>0</v>
      </c>
      <c r="E32" s="52">
        <f>IF(AB9=0,0,1/AB9)</f>
        <v>0</v>
      </c>
      <c r="F32" s="52">
        <f>IF(AB10=0,0,1/AB10)</f>
        <v>0</v>
      </c>
      <c r="G32" s="52">
        <f>IF(AB11=0,0,1/AB11)</f>
        <v>0</v>
      </c>
      <c r="H32" s="52">
        <f>IF(AB12=0,0,1/AB12)</f>
        <v>0</v>
      </c>
      <c r="I32" s="52">
        <f>IF(AB13=0,0,1/AB13)</f>
        <v>0</v>
      </c>
      <c r="J32" s="52">
        <f>IF(AB14=0,0,1/AB14)</f>
        <v>0</v>
      </c>
      <c r="K32" s="52">
        <f>IF(AB15=0,0,1/AB15)</f>
        <v>0</v>
      </c>
      <c r="L32" s="52">
        <f>IF(AB16=0,0,1/AB16)</f>
        <v>0</v>
      </c>
      <c r="M32" s="52">
        <f>IF(AB17=0,0,1/AB17)</f>
        <v>0</v>
      </c>
      <c r="N32" s="52">
        <f>IF(AB18=0,0,1/AB18)</f>
        <v>0</v>
      </c>
      <c r="O32" s="52">
        <f>IF(AB19=0,0,1/AB19)</f>
        <v>0</v>
      </c>
      <c r="P32" s="52">
        <f>IF(AB20=0,0,1/AB20)</f>
        <v>0</v>
      </c>
      <c r="Q32" s="52">
        <f>IF(AB21=0,0,1/AB21)</f>
        <v>0</v>
      </c>
      <c r="R32" s="52">
        <f>IF(AB22=0,0,1/AB22)</f>
        <v>0</v>
      </c>
      <c r="S32" s="52">
        <f>IF(AB23=0,0,1/AB23)</f>
        <v>0</v>
      </c>
      <c r="T32" s="52">
        <f>IF(AB24=0,0,1/AB24)</f>
        <v>0</v>
      </c>
      <c r="U32" s="52">
        <f>IF(AB25=0,0,1/AB25)</f>
        <v>0</v>
      </c>
      <c r="V32" s="52">
        <f>IF(AB26=0,0,1/AB26)</f>
        <v>0</v>
      </c>
      <c r="W32" s="52">
        <f>IF(AB27=0,0,1/AB27)</f>
        <v>0</v>
      </c>
      <c r="X32" s="52">
        <f>IF(AB28=0,0,1/AB28)</f>
        <v>0</v>
      </c>
      <c r="Y32" s="52">
        <f>IF(AB29=0,0,1/AB29)</f>
        <v>0</v>
      </c>
      <c r="Z32" s="52">
        <f>IF(AB30=0,0,1/AB30)</f>
        <v>0</v>
      </c>
      <c r="AA32" s="52">
        <f>IF(AB31=0,0,1/AB31)</f>
        <v>0</v>
      </c>
      <c r="AB32" s="53">
        <v>1</v>
      </c>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row>
    <row r="33" spans="1:51" s="1" customFormat="1" x14ac:dyDescent="0.25">
      <c r="A33" s="44"/>
    </row>
    <row r="34" spans="1:51" s="1" customFormat="1" x14ac:dyDescent="0.25">
      <c r="H34" s="84" t="s">
        <v>91</v>
      </c>
      <c r="I34" s="84"/>
      <c r="J34" s="84"/>
    </row>
    <row r="35" spans="1:51" ht="15" x14ac:dyDescent="0.25">
      <c r="B35" s="54" t="e" cm="1" vm="2">
        <f t="array" ref="B35:AB35">IF(TRANSPOSE(A6:A32)=0,"-",TRANSPOSE(A6:A32))</f>
        <v>#VALUE!</v>
      </c>
      <c r="C35" s="54" t="str">
        <v>-</v>
      </c>
      <c r="D35" s="54" t="str">
        <v>-</v>
      </c>
      <c r="E35" s="54" t="str">
        <v>-</v>
      </c>
      <c r="F35" s="54" t="str">
        <v>-</v>
      </c>
      <c r="G35" s="54" t="str">
        <v>-</v>
      </c>
      <c r="H35" s="54" t="str">
        <v>-</v>
      </c>
      <c r="I35" s="54" t="str">
        <v>-</v>
      </c>
      <c r="J35" s="54" t="str">
        <v>-</v>
      </c>
      <c r="K35" s="54" t="str">
        <v>-</v>
      </c>
      <c r="L35" s="54" t="str">
        <v>-</v>
      </c>
      <c r="M35" s="54" t="str">
        <v>-</v>
      </c>
      <c r="N35" s="54" t="str">
        <v>-</v>
      </c>
      <c r="O35" s="54" t="str">
        <v>-</v>
      </c>
      <c r="P35" s="54" t="str">
        <v>-</v>
      </c>
      <c r="Q35" s="54" t="str">
        <v>-</v>
      </c>
      <c r="R35" s="54" t="str">
        <v>-</v>
      </c>
      <c r="S35" s="54" t="str">
        <v>-</v>
      </c>
      <c r="T35" s="54" t="str">
        <v>-</v>
      </c>
      <c r="U35" s="54" t="str">
        <v>-</v>
      </c>
      <c r="V35" s="54" t="str">
        <v>-</v>
      </c>
      <c r="W35" s="54" t="str">
        <v>-</v>
      </c>
      <c r="X35" s="54" t="str">
        <v>-</v>
      </c>
      <c r="Y35" s="54" t="str">
        <v>-</v>
      </c>
      <c r="Z35" s="54" t="str">
        <v>-</v>
      </c>
      <c r="AA35" s="54" t="str">
        <v>-</v>
      </c>
      <c r="AB35" s="54" t="str">
        <v>-</v>
      </c>
      <c r="AC35" s="35" t="s">
        <v>69</v>
      </c>
      <c r="AD35" s="55" t="s">
        <v>72</v>
      </c>
      <c r="AE35" s="1"/>
      <c r="AF35" s="1"/>
      <c r="AG35" s="1"/>
      <c r="AH35" s="1"/>
      <c r="AI35" s="1"/>
      <c r="AJ35" s="1"/>
      <c r="AK35" s="1"/>
      <c r="AL35" s="1"/>
      <c r="AM35" s="1"/>
      <c r="AN35" s="1"/>
      <c r="AO35" s="1"/>
      <c r="AP35" s="1"/>
      <c r="AQ35" s="1"/>
      <c r="AR35" s="1"/>
      <c r="AS35" s="1"/>
      <c r="AT35" s="1"/>
      <c r="AU35" s="1"/>
      <c r="AV35" s="1"/>
      <c r="AW35" s="1"/>
      <c r="AX35" s="1"/>
      <c r="AY35" s="1"/>
    </row>
    <row r="36" spans="1:51" x14ac:dyDescent="0.25">
      <c r="A36" s="56" t="e" cm="1" vm="2">
        <f t="array" ref="A36">_xlfn._xlws.FILTER('AHP(Structure the hierarchy)'!B6:B33, 'AHP(Structure the hierarchy)'!B6:B33&lt;&gt;"")</f>
        <v>#VALUE!</v>
      </c>
      <c r="B36" s="57">
        <f>IF($B$6=0,0,$B$6*B6+$C$6*B7+$D$6*B8+$E$6*B9+$F$6*B10+$G$6*B11+H6*B12+I6*B13+J6*B14+K6*B15+L6*B16+M6*B17+N6*B18+O6*B19+P6*B20+Q6*B21+R6*B22+S6*B23+T6*B24+U6*B25+V6*B26+W6*B27+X6*B28+Y6*B29+Z6*B30+AA6*B31+AB6*B32)</f>
        <v>1</v>
      </c>
      <c r="C36" s="57">
        <f t="shared" ref="C36:AB36" si="0">IF($B$6=0,0,$B$6*C6+$C$6*C7+$D$6*C8+$E$6*C9+$F$6*C10+$G$6*C11+I6*C12+J6*C13+K6*C14+L6*C15+M6*C16+N6*C17+O6*C18+P6*C19+Q6*C20+R6*C21+S6*C22+T6*C23+U6*C24+V6*C25+W6*C26+X6*C27+Y6*C28+Z6*C29+AA6*C30+AB6*C31+AC6*C32)</f>
        <v>0</v>
      </c>
      <c r="D36" s="57">
        <f t="shared" si="0"/>
        <v>0</v>
      </c>
      <c r="E36" s="57">
        <f t="shared" si="0"/>
        <v>0</v>
      </c>
      <c r="F36" s="57">
        <f t="shared" si="0"/>
        <v>0</v>
      </c>
      <c r="G36" s="57">
        <f t="shared" si="0"/>
        <v>0</v>
      </c>
      <c r="H36" s="57">
        <f t="shared" si="0"/>
        <v>0</v>
      </c>
      <c r="I36" s="57">
        <f t="shared" si="0"/>
        <v>0</v>
      </c>
      <c r="J36" s="57">
        <f t="shared" si="0"/>
        <v>0</v>
      </c>
      <c r="K36" s="57">
        <f t="shared" si="0"/>
        <v>0</v>
      </c>
      <c r="L36" s="57">
        <f t="shared" si="0"/>
        <v>0</v>
      </c>
      <c r="M36" s="57">
        <f t="shared" si="0"/>
        <v>0</v>
      </c>
      <c r="N36" s="57">
        <f t="shared" si="0"/>
        <v>0</v>
      </c>
      <c r="O36" s="57">
        <f t="shared" si="0"/>
        <v>0</v>
      </c>
      <c r="P36" s="57">
        <f t="shared" si="0"/>
        <v>0</v>
      </c>
      <c r="Q36" s="57">
        <f t="shared" si="0"/>
        <v>0</v>
      </c>
      <c r="R36" s="57">
        <f t="shared" si="0"/>
        <v>0</v>
      </c>
      <c r="S36" s="57">
        <f t="shared" si="0"/>
        <v>0</v>
      </c>
      <c r="T36" s="57">
        <f t="shared" si="0"/>
        <v>0</v>
      </c>
      <c r="U36" s="57">
        <f t="shared" si="0"/>
        <v>0</v>
      </c>
      <c r="V36" s="57">
        <f t="shared" si="0"/>
        <v>0</v>
      </c>
      <c r="W36" s="57">
        <f t="shared" si="0"/>
        <v>0</v>
      </c>
      <c r="X36" s="57">
        <f t="shared" si="0"/>
        <v>0</v>
      </c>
      <c r="Y36" s="57">
        <f t="shared" si="0"/>
        <v>0</v>
      </c>
      <c r="Z36" s="57">
        <f t="shared" si="0"/>
        <v>0</v>
      </c>
      <c r="AA36" s="57">
        <f t="shared" si="0"/>
        <v>0</v>
      </c>
      <c r="AB36" s="57">
        <f t="shared" si="0"/>
        <v>0</v>
      </c>
      <c r="AC36" s="57">
        <f>SUM(B36:AB36)</f>
        <v>1</v>
      </c>
      <c r="AD36" s="57">
        <f t="shared" ref="AD36:AD62" si="1">AC36/$AC$63</f>
        <v>1</v>
      </c>
      <c r="AE36" s="1"/>
      <c r="AF36" s="1"/>
      <c r="AG36" s="1"/>
      <c r="AH36" s="1"/>
      <c r="AI36" s="1"/>
      <c r="AJ36" s="1"/>
      <c r="AK36" s="1"/>
      <c r="AL36" s="1"/>
      <c r="AM36" s="1"/>
      <c r="AN36" s="1"/>
      <c r="AO36" s="1"/>
      <c r="AP36" s="1"/>
      <c r="AQ36" s="1"/>
      <c r="AR36" s="1"/>
      <c r="AS36" s="1"/>
      <c r="AT36" s="1"/>
      <c r="AU36" s="1"/>
      <c r="AV36" s="1"/>
      <c r="AW36" s="1"/>
      <c r="AX36" s="1"/>
      <c r="AY36" s="1"/>
    </row>
    <row r="37" spans="1:51" x14ac:dyDescent="0.25">
      <c r="A37" s="56"/>
      <c r="B37" s="57">
        <f>IF($B$7=0,0,$B$7*B6+$C$7*B7+$D$7*B8+$E$7*B9+$F$7*B10+$G$7*B11+$H$7*B12+$I$7*B13+$J$7*B14+$K$7*B15+$L$7*B16+$M$7*B17+$N$7*B18+$O$7*B19+$P$7*B20+$Q$7*B21+$R$7*B22+$S$7*B23+$T$7*B24+$U$7*B25+$V$7*B26+$W$7*B27+$X$7*B28+$Y$7*B29+$Z$7*B30+$AA$7*B31+$AB$7*B32)</f>
        <v>0</v>
      </c>
      <c r="C37" s="57">
        <f t="shared" ref="C37:AB37" si="2">IF($B$7=0,0,$B$7*C6+$C$7*C7+$D$7*C8+$E$7*C9+$F$7*C10+$G$7*C11+$H$7*C12+$I$7*C13+$J$7*C14+$K$7*C15+$L$7*C16+$M$7*C17+$N$7*C18+$O$7*C19+$P$7*C20+$Q$7*C21+$R$7*C22+$S$7*C23+$T$7*C24+$U$7*C25+$V$7*C26+$W$7*C27+$X$7*C28+$Y$7*C29+$Z$7*C30+$AA$7*C31+$AB$7*C32)</f>
        <v>0</v>
      </c>
      <c r="D37" s="57">
        <f t="shared" si="2"/>
        <v>0</v>
      </c>
      <c r="E37" s="57">
        <f t="shared" si="2"/>
        <v>0</v>
      </c>
      <c r="F37" s="57">
        <f t="shared" si="2"/>
        <v>0</v>
      </c>
      <c r="G37" s="57">
        <f t="shared" si="2"/>
        <v>0</v>
      </c>
      <c r="H37" s="57">
        <f t="shared" si="2"/>
        <v>0</v>
      </c>
      <c r="I37" s="57">
        <f t="shared" si="2"/>
        <v>0</v>
      </c>
      <c r="J37" s="57">
        <f t="shared" si="2"/>
        <v>0</v>
      </c>
      <c r="K37" s="57">
        <f t="shared" si="2"/>
        <v>0</v>
      </c>
      <c r="L37" s="57">
        <f t="shared" si="2"/>
        <v>0</v>
      </c>
      <c r="M37" s="57">
        <f t="shared" si="2"/>
        <v>0</v>
      </c>
      <c r="N37" s="57">
        <f t="shared" si="2"/>
        <v>0</v>
      </c>
      <c r="O37" s="57">
        <f t="shared" si="2"/>
        <v>0</v>
      </c>
      <c r="P37" s="57">
        <f t="shared" si="2"/>
        <v>0</v>
      </c>
      <c r="Q37" s="57">
        <f t="shared" si="2"/>
        <v>0</v>
      </c>
      <c r="R37" s="57">
        <f t="shared" si="2"/>
        <v>0</v>
      </c>
      <c r="S37" s="57">
        <f t="shared" si="2"/>
        <v>0</v>
      </c>
      <c r="T37" s="57">
        <f t="shared" si="2"/>
        <v>0</v>
      </c>
      <c r="U37" s="57">
        <f t="shared" si="2"/>
        <v>0</v>
      </c>
      <c r="V37" s="57">
        <f t="shared" si="2"/>
        <v>0</v>
      </c>
      <c r="W37" s="57">
        <f t="shared" si="2"/>
        <v>0</v>
      </c>
      <c r="X37" s="57">
        <f t="shared" si="2"/>
        <v>0</v>
      </c>
      <c r="Y37" s="57">
        <f t="shared" si="2"/>
        <v>0</v>
      </c>
      <c r="Z37" s="57">
        <f t="shared" si="2"/>
        <v>0</v>
      </c>
      <c r="AA37" s="57">
        <f t="shared" si="2"/>
        <v>0</v>
      </c>
      <c r="AB37" s="57">
        <f t="shared" si="2"/>
        <v>0</v>
      </c>
      <c r="AC37" s="57">
        <f t="shared" ref="AC37:AC62" si="3">SUM(B37:AB37)</f>
        <v>0</v>
      </c>
      <c r="AD37" s="57">
        <f t="shared" si="1"/>
        <v>0</v>
      </c>
      <c r="AE37" s="1"/>
      <c r="AF37" s="1"/>
      <c r="AG37" s="1"/>
      <c r="AH37" s="1"/>
      <c r="AI37" s="1"/>
      <c r="AJ37" s="1"/>
      <c r="AK37" s="1"/>
      <c r="AL37" s="1"/>
      <c r="AM37" s="1"/>
      <c r="AN37" s="1"/>
      <c r="AO37" s="1"/>
      <c r="AP37" s="1"/>
      <c r="AQ37" s="1"/>
      <c r="AR37" s="1"/>
      <c r="AS37" s="1"/>
      <c r="AT37" s="1"/>
      <c r="AU37" s="1"/>
      <c r="AV37" s="1"/>
      <c r="AW37" s="1"/>
      <c r="AX37" s="1"/>
      <c r="AY37" s="1"/>
    </row>
    <row r="38" spans="1:51" x14ac:dyDescent="0.25">
      <c r="A38" s="56"/>
      <c r="B38" s="57">
        <f>IF($B$8=0,0,$B$8*B6+$C$8*B7+$D$8*B8+$E$8*B9+$F$8*B10+$G$8*B11+$H$8*B12+$I$8*B13+$J$8*B14+$K$8*B15+$L$8*B16+$M$8*B17+$N$8*B18+$O$8*B19+$P$8*B20+$Q$8*B21+$R$8*B22+$S$8*B23+$T$8*B24+$U$8*B25+$V$8*B26+$W$8*B27+$X$8*B28+$Y$8*B29+$Z$8*B30+$AA$8*B31+$AB$8*B32)</f>
        <v>0</v>
      </c>
      <c r="C38" s="57">
        <f t="shared" ref="C38:AB38" si="4">IF($B$8=0,0,$B$8*C6+$C$8*C7+$D$8*C8+$E$8*C9+$F$8*C10+$G$8*C11+$H$8*C12+$I$8*C13+$J$8*C14+$K$8*C15+$L$8*C16+$M$8*C17+$N$8*C18+$O$8*C19+$P$8*C20+$Q$8*C21+$R$8*C22+$S$8*C23+$T$8*C24+$U$8*C25+$V$8*C26+$W$8*C27+$X$8*C28+$Y$8*C29+$Z$8*C30+$AA$8*C31+$AB$8*C32)</f>
        <v>0</v>
      </c>
      <c r="D38" s="57">
        <f t="shared" si="4"/>
        <v>0</v>
      </c>
      <c r="E38" s="57">
        <f t="shared" si="4"/>
        <v>0</v>
      </c>
      <c r="F38" s="57">
        <f t="shared" si="4"/>
        <v>0</v>
      </c>
      <c r="G38" s="57">
        <f t="shared" si="4"/>
        <v>0</v>
      </c>
      <c r="H38" s="57">
        <f t="shared" si="4"/>
        <v>0</v>
      </c>
      <c r="I38" s="57">
        <f t="shared" si="4"/>
        <v>0</v>
      </c>
      <c r="J38" s="57">
        <f t="shared" si="4"/>
        <v>0</v>
      </c>
      <c r="K38" s="57">
        <f t="shared" si="4"/>
        <v>0</v>
      </c>
      <c r="L38" s="57">
        <f t="shared" si="4"/>
        <v>0</v>
      </c>
      <c r="M38" s="57">
        <f t="shared" si="4"/>
        <v>0</v>
      </c>
      <c r="N38" s="57">
        <f t="shared" si="4"/>
        <v>0</v>
      </c>
      <c r="O38" s="57">
        <f t="shared" si="4"/>
        <v>0</v>
      </c>
      <c r="P38" s="57">
        <f t="shared" si="4"/>
        <v>0</v>
      </c>
      <c r="Q38" s="57">
        <f t="shared" si="4"/>
        <v>0</v>
      </c>
      <c r="R38" s="57">
        <f t="shared" si="4"/>
        <v>0</v>
      </c>
      <c r="S38" s="57">
        <f t="shared" si="4"/>
        <v>0</v>
      </c>
      <c r="T38" s="57">
        <f t="shared" si="4"/>
        <v>0</v>
      </c>
      <c r="U38" s="57">
        <f t="shared" si="4"/>
        <v>0</v>
      </c>
      <c r="V38" s="57">
        <f t="shared" si="4"/>
        <v>0</v>
      </c>
      <c r="W38" s="57">
        <f t="shared" si="4"/>
        <v>0</v>
      </c>
      <c r="X38" s="57">
        <f t="shared" si="4"/>
        <v>0</v>
      </c>
      <c r="Y38" s="57">
        <f t="shared" si="4"/>
        <v>0</v>
      </c>
      <c r="Z38" s="57">
        <f t="shared" si="4"/>
        <v>0</v>
      </c>
      <c r="AA38" s="57">
        <f t="shared" si="4"/>
        <v>0</v>
      </c>
      <c r="AB38" s="57">
        <f t="shared" si="4"/>
        <v>0</v>
      </c>
      <c r="AC38" s="57">
        <f t="shared" si="3"/>
        <v>0</v>
      </c>
      <c r="AD38" s="57">
        <f t="shared" si="1"/>
        <v>0</v>
      </c>
      <c r="AE38" s="1"/>
      <c r="AF38" s="1"/>
      <c r="AG38" s="1"/>
      <c r="AH38" s="1"/>
      <c r="AI38" s="1"/>
      <c r="AJ38" s="1"/>
      <c r="AK38" s="1"/>
      <c r="AL38" s="1"/>
      <c r="AM38" s="1"/>
      <c r="AN38" s="1"/>
      <c r="AO38" s="1"/>
      <c r="AP38" s="1"/>
      <c r="AQ38" s="1"/>
      <c r="AR38" s="1"/>
      <c r="AS38" s="1"/>
      <c r="AT38" s="1"/>
      <c r="AU38" s="1"/>
      <c r="AV38" s="1"/>
      <c r="AW38" s="1"/>
      <c r="AX38" s="1"/>
      <c r="AY38" s="1"/>
    </row>
    <row r="39" spans="1:51" x14ac:dyDescent="0.25">
      <c r="A39" s="56"/>
      <c r="B39" s="57">
        <f>IF($B$9=0,0,$B$9*B6+$C$9*B7+$D$9*B8+$E$9*B9+$F$9*B10+$G$9*B11+$H$9*B12+$I$9*B13+$J$9*B14+$K$9*B15+$L$9*B16+$M$9*B17+$N$9*B18+$O$9*B19+$P$9*B20+$Q$9*B21+$R$9*B22+$S$9*B23+$T$9*B24+$U$9*B25+$V$9*B26+$W$9*B27+$X$9*B28+$Y$9*B29+$Z$9*B30+$AA$9*B31+$AB$9*B32)</f>
        <v>0</v>
      </c>
      <c r="C39" s="57">
        <f t="shared" ref="C39:AB39" si="5">IF($B$9=0,0,$B$9*C6+$C$9*C7+$D$9*C8+$E$9*C9+$F$9*C10+$G$9*C11+$H$9*C12+$I$9*C13+$J$9*C14+$K$9*C15+$L$9*C16+$M$9*C17+$N$9*C18+$O$9*C19+$P$9*C20+$Q$9*C21+$R$9*C22+$S$9*C23+$T$9*C24+$U$9*C25+$V$9*C26+$W$9*C27+$X$9*C28+$Y$9*C29+$Z$9*C30+$AA$9*C31+$AB$9*C32)</f>
        <v>0</v>
      </c>
      <c r="D39" s="57">
        <f t="shared" si="5"/>
        <v>0</v>
      </c>
      <c r="E39" s="57">
        <f t="shared" si="5"/>
        <v>0</v>
      </c>
      <c r="F39" s="57">
        <f t="shared" si="5"/>
        <v>0</v>
      </c>
      <c r="G39" s="57">
        <f t="shared" si="5"/>
        <v>0</v>
      </c>
      <c r="H39" s="57">
        <f t="shared" si="5"/>
        <v>0</v>
      </c>
      <c r="I39" s="57">
        <f t="shared" si="5"/>
        <v>0</v>
      </c>
      <c r="J39" s="57">
        <f t="shared" si="5"/>
        <v>0</v>
      </c>
      <c r="K39" s="57">
        <f t="shared" si="5"/>
        <v>0</v>
      </c>
      <c r="L39" s="57">
        <f t="shared" si="5"/>
        <v>0</v>
      </c>
      <c r="M39" s="57">
        <f t="shared" si="5"/>
        <v>0</v>
      </c>
      <c r="N39" s="57">
        <f t="shared" si="5"/>
        <v>0</v>
      </c>
      <c r="O39" s="57">
        <f t="shared" si="5"/>
        <v>0</v>
      </c>
      <c r="P39" s="57">
        <f t="shared" si="5"/>
        <v>0</v>
      </c>
      <c r="Q39" s="57">
        <f t="shared" si="5"/>
        <v>0</v>
      </c>
      <c r="R39" s="57">
        <f t="shared" si="5"/>
        <v>0</v>
      </c>
      <c r="S39" s="57">
        <f t="shared" si="5"/>
        <v>0</v>
      </c>
      <c r="T39" s="57">
        <f t="shared" si="5"/>
        <v>0</v>
      </c>
      <c r="U39" s="57">
        <f t="shared" si="5"/>
        <v>0</v>
      </c>
      <c r="V39" s="57">
        <f t="shared" si="5"/>
        <v>0</v>
      </c>
      <c r="W39" s="57">
        <f t="shared" si="5"/>
        <v>0</v>
      </c>
      <c r="X39" s="57">
        <f t="shared" si="5"/>
        <v>0</v>
      </c>
      <c r="Y39" s="57">
        <f t="shared" si="5"/>
        <v>0</v>
      </c>
      <c r="Z39" s="57">
        <f t="shared" si="5"/>
        <v>0</v>
      </c>
      <c r="AA39" s="57">
        <f t="shared" si="5"/>
        <v>0</v>
      </c>
      <c r="AB39" s="57">
        <f t="shared" si="5"/>
        <v>0</v>
      </c>
      <c r="AC39" s="57">
        <f t="shared" si="3"/>
        <v>0</v>
      </c>
      <c r="AD39" s="57">
        <f t="shared" si="1"/>
        <v>0</v>
      </c>
      <c r="AE39" s="1"/>
      <c r="AF39" s="1"/>
      <c r="AG39" s="1"/>
      <c r="AH39" s="1"/>
      <c r="AI39" s="1"/>
      <c r="AJ39" s="1"/>
      <c r="AK39" s="1"/>
      <c r="AL39" s="1"/>
      <c r="AM39" s="1"/>
      <c r="AN39" s="1"/>
      <c r="AO39" s="1"/>
      <c r="AP39" s="1"/>
      <c r="AQ39" s="1"/>
      <c r="AR39" s="1"/>
      <c r="AS39" s="1"/>
      <c r="AT39" s="1"/>
      <c r="AU39" s="1"/>
      <c r="AV39" s="1"/>
      <c r="AW39" s="1"/>
      <c r="AX39" s="1"/>
      <c r="AY39" s="1"/>
    </row>
    <row r="40" spans="1:51" x14ac:dyDescent="0.25">
      <c r="A40" s="56"/>
      <c r="B40" s="57">
        <f>IF($B$10=0,0,$B$10*B6+$C$10*B7+$D$10*B8+$E$10*B9+$F$10*B10+$G$10*B11+$H$10*B12+$I$10*B13+$J$10*B14+$K$10*B15+$L$10*B16+$M$10*B17+$N$10*B18+$O$10*B19+$P$10*B20+$Q$10*B21+$R$10*B22+$S$10*B23+$T$10*B24+$U$10*B25+$V$10*B26+$W$10*B27+$X$10*B28+$Y$10*B29+$Z$10*B30+$AA$10*B31+$AB$10*B32)</f>
        <v>0</v>
      </c>
      <c r="C40" s="57">
        <f t="shared" ref="C40:AB40" si="6">IF($B$10=0,0,$B$10*C6+$C$10*C7+$D$10*C8+$E$10*C9+$F$10*C10+$G$10*C11+$H$10*C12+$I$10*C13+$J$10*C14+$K$10*C15+$L$10*C16+$M$10*C17+$N$10*C18+$O$10*C19+$P$10*C20+$Q$10*C21+$R$10*C22+$S$10*C23+$T$10*C24+$U$10*C25+$V$10*C26+$W$10*C27+$X$10*C28+$Y$10*C29+$Z$10*C30+$AA$10*C31+$AB$10*C32)</f>
        <v>0</v>
      </c>
      <c r="D40" s="57">
        <f t="shared" si="6"/>
        <v>0</v>
      </c>
      <c r="E40" s="57">
        <f t="shared" si="6"/>
        <v>0</v>
      </c>
      <c r="F40" s="57">
        <f t="shared" si="6"/>
        <v>0</v>
      </c>
      <c r="G40" s="57">
        <f t="shared" si="6"/>
        <v>0</v>
      </c>
      <c r="H40" s="57">
        <f t="shared" si="6"/>
        <v>0</v>
      </c>
      <c r="I40" s="57">
        <f t="shared" si="6"/>
        <v>0</v>
      </c>
      <c r="J40" s="57">
        <f t="shared" si="6"/>
        <v>0</v>
      </c>
      <c r="K40" s="57">
        <f t="shared" si="6"/>
        <v>0</v>
      </c>
      <c r="L40" s="57">
        <f t="shared" si="6"/>
        <v>0</v>
      </c>
      <c r="M40" s="57">
        <f t="shared" si="6"/>
        <v>0</v>
      </c>
      <c r="N40" s="57">
        <f t="shared" si="6"/>
        <v>0</v>
      </c>
      <c r="O40" s="57">
        <f t="shared" si="6"/>
        <v>0</v>
      </c>
      <c r="P40" s="57">
        <f t="shared" si="6"/>
        <v>0</v>
      </c>
      <c r="Q40" s="57">
        <f t="shared" si="6"/>
        <v>0</v>
      </c>
      <c r="R40" s="57">
        <f t="shared" si="6"/>
        <v>0</v>
      </c>
      <c r="S40" s="57">
        <f t="shared" si="6"/>
        <v>0</v>
      </c>
      <c r="T40" s="57">
        <f t="shared" si="6"/>
        <v>0</v>
      </c>
      <c r="U40" s="57">
        <f t="shared" si="6"/>
        <v>0</v>
      </c>
      <c r="V40" s="57">
        <f t="shared" si="6"/>
        <v>0</v>
      </c>
      <c r="W40" s="57">
        <f t="shared" si="6"/>
        <v>0</v>
      </c>
      <c r="X40" s="57">
        <f t="shared" si="6"/>
        <v>0</v>
      </c>
      <c r="Y40" s="57">
        <f t="shared" si="6"/>
        <v>0</v>
      </c>
      <c r="Z40" s="57">
        <f t="shared" si="6"/>
        <v>0</v>
      </c>
      <c r="AA40" s="57">
        <f t="shared" si="6"/>
        <v>0</v>
      </c>
      <c r="AB40" s="57">
        <f t="shared" si="6"/>
        <v>0</v>
      </c>
      <c r="AC40" s="57">
        <f t="shared" si="3"/>
        <v>0</v>
      </c>
      <c r="AD40" s="57">
        <f t="shared" si="1"/>
        <v>0</v>
      </c>
      <c r="AE40" s="1"/>
      <c r="AF40" s="1"/>
      <c r="AG40" s="1"/>
      <c r="AH40" s="1"/>
      <c r="AI40" s="1"/>
      <c r="AJ40" s="1"/>
      <c r="AK40" s="1"/>
      <c r="AL40" s="1"/>
      <c r="AM40" s="1"/>
      <c r="AN40" s="1"/>
      <c r="AO40" s="1"/>
      <c r="AP40" s="1"/>
      <c r="AQ40" s="1"/>
      <c r="AR40" s="1"/>
      <c r="AS40" s="1"/>
      <c r="AT40" s="1"/>
      <c r="AU40" s="1"/>
      <c r="AV40" s="1"/>
      <c r="AW40" s="1"/>
      <c r="AX40" s="1"/>
      <c r="AY40" s="1"/>
    </row>
    <row r="41" spans="1:51" x14ac:dyDescent="0.25">
      <c r="A41" s="56"/>
      <c r="B41" s="57">
        <f>IF($B$11=0,0,$B$11*B6+$C$11*B7+$D$11*B8+$E$11*B9+$F$11*B10+$G$11*B11+$H$11*B12+$I$11*B13+$J$11*B14+$K$11*B15+$L$11*B16+$M$11*B17+$N$11*B18+$O$11*B19+$P$11*B20+$Q$11*B21+$R$11*B22+$S$11*B23+$T$11*B24+$U$11*B25+$V$11*B26+$W$11*B27+$X$11*B28+$Y$11*B29+$Z$11*B30+$AA$11*B31+$AB$11*B32)</f>
        <v>0</v>
      </c>
      <c r="C41" s="57">
        <f t="shared" ref="C41:AB41" si="7">IF($B$11=0,0,$B$11*C6+$C$11*C7+$D$11*C8+$E$11*C9+$F$11*C10+$G$11*C11+$H$11*C12+$I$11*C13+$J$11*C14+$K$11*C15+$L$11*C16+$M$11*C17+$N$11*C18+$O$11*C19+$P$11*C20+$Q$11*C21+$R$11*C22+$S$11*C23+$T$11*C24+$U$11*C25+$V$11*C26+$W$11*C27+$X$11*C28+$Y$11*C29+$Z$11*C30+$AA$11*C31+$AB$11*C32)</f>
        <v>0</v>
      </c>
      <c r="D41" s="57">
        <f t="shared" si="7"/>
        <v>0</v>
      </c>
      <c r="E41" s="57">
        <f t="shared" si="7"/>
        <v>0</v>
      </c>
      <c r="F41" s="57">
        <f t="shared" si="7"/>
        <v>0</v>
      </c>
      <c r="G41" s="57">
        <f t="shared" si="7"/>
        <v>0</v>
      </c>
      <c r="H41" s="57">
        <f t="shared" si="7"/>
        <v>0</v>
      </c>
      <c r="I41" s="57">
        <f t="shared" si="7"/>
        <v>0</v>
      </c>
      <c r="J41" s="57">
        <f t="shared" si="7"/>
        <v>0</v>
      </c>
      <c r="K41" s="57">
        <f t="shared" si="7"/>
        <v>0</v>
      </c>
      <c r="L41" s="57">
        <f t="shared" si="7"/>
        <v>0</v>
      </c>
      <c r="M41" s="57">
        <f t="shared" si="7"/>
        <v>0</v>
      </c>
      <c r="N41" s="57">
        <f t="shared" si="7"/>
        <v>0</v>
      </c>
      <c r="O41" s="57">
        <f t="shared" si="7"/>
        <v>0</v>
      </c>
      <c r="P41" s="57">
        <f t="shared" si="7"/>
        <v>0</v>
      </c>
      <c r="Q41" s="57">
        <f t="shared" si="7"/>
        <v>0</v>
      </c>
      <c r="R41" s="57">
        <f t="shared" si="7"/>
        <v>0</v>
      </c>
      <c r="S41" s="57">
        <f t="shared" si="7"/>
        <v>0</v>
      </c>
      <c r="T41" s="57">
        <f t="shared" si="7"/>
        <v>0</v>
      </c>
      <c r="U41" s="57">
        <f t="shared" si="7"/>
        <v>0</v>
      </c>
      <c r="V41" s="57">
        <f t="shared" si="7"/>
        <v>0</v>
      </c>
      <c r="W41" s="57">
        <f t="shared" si="7"/>
        <v>0</v>
      </c>
      <c r="X41" s="57">
        <f t="shared" si="7"/>
        <v>0</v>
      </c>
      <c r="Y41" s="57">
        <f t="shared" si="7"/>
        <v>0</v>
      </c>
      <c r="Z41" s="57">
        <f t="shared" si="7"/>
        <v>0</v>
      </c>
      <c r="AA41" s="57">
        <f t="shared" si="7"/>
        <v>0</v>
      </c>
      <c r="AB41" s="57">
        <f t="shared" si="7"/>
        <v>0</v>
      </c>
      <c r="AC41" s="57">
        <f t="shared" si="3"/>
        <v>0</v>
      </c>
      <c r="AD41" s="57">
        <f t="shared" si="1"/>
        <v>0</v>
      </c>
      <c r="AE41" s="1"/>
      <c r="AF41" s="1"/>
      <c r="AG41" s="1"/>
      <c r="AH41" s="1"/>
      <c r="AI41" s="1"/>
      <c r="AJ41" s="1"/>
      <c r="AK41" s="1"/>
      <c r="AL41" s="1"/>
      <c r="AM41" s="1"/>
      <c r="AN41" s="1"/>
      <c r="AO41" s="1"/>
      <c r="AP41" s="1"/>
      <c r="AQ41" s="1"/>
      <c r="AR41" s="1"/>
      <c r="AS41" s="1"/>
      <c r="AT41" s="1"/>
      <c r="AU41" s="1"/>
      <c r="AV41" s="1"/>
      <c r="AW41" s="1"/>
      <c r="AX41" s="1"/>
      <c r="AY41" s="1"/>
    </row>
    <row r="42" spans="1:51" x14ac:dyDescent="0.25">
      <c r="A42" s="56"/>
      <c r="B42" s="57">
        <f>IF($B$12=0,0,$B$12*B6+$C$12*B7+$D$12*B8+$E$12*B9+$F$12*B10+$G$12*B11+$H$12*B12+$I$12*B13+$J$12*B14+$K$12*B15+$L$12*B16+$M$12*B17+$N$12*B18+$O$12*B19+$P$12*B20+$Q$12*B21+$R$12*B22+$S$12*B23+$T$12*B24+$U$12*B25+$V$12*B26+$W$12*B27+$X$12*B28+$Y$12*B29+$Z$12*B30+$AA$12*B31+$AB$12*B32)</f>
        <v>0</v>
      </c>
      <c r="C42" s="57">
        <f t="shared" ref="C42:AB42" si="8">IF($B$12=0,0,$B$12*C6+$C$12*C7+$D$12*C8+$E$12*C9+$F$12*C10+$G$12*C11+$H$12*C12+$I$12*C13+$J$12*C14+$K$12*C15+$L$12*C16+$M$12*C17+$N$12*C18+$O$12*C19+$P$12*C20+$Q$12*C21+$R$12*C22+$S$12*C23+$T$12*C24+$U$12*C25+$V$12*C26+$W$12*C27+$X$12*C28+$Y$12*C29+$Z$12*C30+$AA$12*C31+$AB$12*C32)</f>
        <v>0</v>
      </c>
      <c r="D42" s="57">
        <f t="shared" si="8"/>
        <v>0</v>
      </c>
      <c r="E42" s="57">
        <f t="shared" si="8"/>
        <v>0</v>
      </c>
      <c r="F42" s="57">
        <f t="shared" si="8"/>
        <v>0</v>
      </c>
      <c r="G42" s="57">
        <f t="shared" si="8"/>
        <v>0</v>
      </c>
      <c r="H42" s="57">
        <f t="shared" si="8"/>
        <v>0</v>
      </c>
      <c r="I42" s="57">
        <f t="shared" si="8"/>
        <v>0</v>
      </c>
      <c r="J42" s="57">
        <f t="shared" si="8"/>
        <v>0</v>
      </c>
      <c r="K42" s="57">
        <f t="shared" si="8"/>
        <v>0</v>
      </c>
      <c r="L42" s="57">
        <f t="shared" si="8"/>
        <v>0</v>
      </c>
      <c r="M42" s="57">
        <f t="shared" si="8"/>
        <v>0</v>
      </c>
      <c r="N42" s="57">
        <f t="shared" si="8"/>
        <v>0</v>
      </c>
      <c r="O42" s="57">
        <f t="shared" si="8"/>
        <v>0</v>
      </c>
      <c r="P42" s="57">
        <f t="shared" si="8"/>
        <v>0</v>
      </c>
      <c r="Q42" s="57">
        <f t="shared" si="8"/>
        <v>0</v>
      </c>
      <c r="R42" s="57">
        <f t="shared" si="8"/>
        <v>0</v>
      </c>
      <c r="S42" s="57">
        <f t="shared" si="8"/>
        <v>0</v>
      </c>
      <c r="T42" s="57">
        <f t="shared" si="8"/>
        <v>0</v>
      </c>
      <c r="U42" s="57">
        <f t="shared" si="8"/>
        <v>0</v>
      </c>
      <c r="V42" s="57">
        <f t="shared" si="8"/>
        <v>0</v>
      </c>
      <c r="W42" s="57">
        <f t="shared" si="8"/>
        <v>0</v>
      </c>
      <c r="X42" s="57">
        <f t="shared" si="8"/>
        <v>0</v>
      </c>
      <c r="Y42" s="57">
        <f t="shared" si="8"/>
        <v>0</v>
      </c>
      <c r="Z42" s="57">
        <f t="shared" si="8"/>
        <v>0</v>
      </c>
      <c r="AA42" s="57">
        <f t="shared" si="8"/>
        <v>0</v>
      </c>
      <c r="AB42" s="57">
        <f t="shared" si="8"/>
        <v>0</v>
      </c>
      <c r="AC42" s="57">
        <f t="shared" si="3"/>
        <v>0</v>
      </c>
      <c r="AD42" s="57">
        <f t="shared" si="1"/>
        <v>0</v>
      </c>
      <c r="AE42" s="1"/>
      <c r="AF42" s="1"/>
      <c r="AG42" s="1"/>
      <c r="AH42" s="1"/>
      <c r="AI42" s="1"/>
      <c r="AJ42" s="1"/>
      <c r="AK42" s="1"/>
      <c r="AL42" s="1"/>
      <c r="AM42" s="1"/>
      <c r="AN42" s="1"/>
      <c r="AO42" s="1"/>
      <c r="AP42" s="1"/>
      <c r="AQ42" s="1"/>
      <c r="AR42" s="1"/>
      <c r="AS42" s="1"/>
      <c r="AT42" s="1"/>
      <c r="AU42" s="1"/>
      <c r="AV42" s="1"/>
      <c r="AW42" s="1"/>
      <c r="AX42" s="1"/>
      <c r="AY42" s="1"/>
    </row>
    <row r="43" spans="1:51" x14ac:dyDescent="0.25">
      <c r="A43" s="56"/>
      <c r="B43" s="57">
        <f>IF($B$13=0,0,$B$13*B6+$C$13*B7+$D$13*B8+$E$13*B9+$F$13*B10+$G$13*B11+$H$13*B12+$I$13*B13+$J$13*B14+$K$13*B15+$L$13*B16+$M$13*B17+$N$13*B18+$O$13*B19+$P$13*B20+$Q$13*B21+$R$13*B22+$S$13*B23+$T$13*B24+$U$13*B25+$V$13*B26+$W$13*B27+$X$13*B28+$Y$13*B29+$Z$13*B30+$AA$13*B31+$AB$13*B32)</f>
        <v>0</v>
      </c>
      <c r="C43" s="57">
        <f t="shared" ref="C43:AB43" si="9">IF($B$13=0,0,$B$13*C6+$C$13*C7+$D$13*C8+$E$13*C9+$F$13*C10+$G$13*C11+$H$13*C12+$I$13*C13+$J$13*C14+$K$13*C15+$L$13*C16+$M$13*C17+$N$13*C18+$O$13*C19+$P$13*C20+$Q$13*C21+$R$13*C22+$S$13*C23+$T$13*C24+$U$13*C25+$V$13*C26+$W$13*C27+$X$13*C28+$Y$13*C29+$Z$13*C30+$AA$13*C31+$AB$13*C32)</f>
        <v>0</v>
      </c>
      <c r="D43" s="57">
        <f t="shared" si="9"/>
        <v>0</v>
      </c>
      <c r="E43" s="57">
        <f t="shared" si="9"/>
        <v>0</v>
      </c>
      <c r="F43" s="57">
        <f t="shared" si="9"/>
        <v>0</v>
      </c>
      <c r="G43" s="57">
        <f t="shared" si="9"/>
        <v>0</v>
      </c>
      <c r="H43" s="57">
        <f t="shared" si="9"/>
        <v>0</v>
      </c>
      <c r="I43" s="57">
        <f t="shared" si="9"/>
        <v>0</v>
      </c>
      <c r="J43" s="57">
        <f t="shared" si="9"/>
        <v>0</v>
      </c>
      <c r="K43" s="57">
        <f t="shared" si="9"/>
        <v>0</v>
      </c>
      <c r="L43" s="57">
        <f t="shared" si="9"/>
        <v>0</v>
      </c>
      <c r="M43" s="57">
        <f t="shared" si="9"/>
        <v>0</v>
      </c>
      <c r="N43" s="57">
        <f t="shared" si="9"/>
        <v>0</v>
      </c>
      <c r="O43" s="57">
        <f t="shared" si="9"/>
        <v>0</v>
      </c>
      <c r="P43" s="57">
        <f t="shared" si="9"/>
        <v>0</v>
      </c>
      <c r="Q43" s="57">
        <f t="shared" si="9"/>
        <v>0</v>
      </c>
      <c r="R43" s="57">
        <f t="shared" si="9"/>
        <v>0</v>
      </c>
      <c r="S43" s="57">
        <f t="shared" si="9"/>
        <v>0</v>
      </c>
      <c r="T43" s="57">
        <f t="shared" si="9"/>
        <v>0</v>
      </c>
      <c r="U43" s="57">
        <f t="shared" si="9"/>
        <v>0</v>
      </c>
      <c r="V43" s="57">
        <f t="shared" si="9"/>
        <v>0</v>
      </c>
      <c r="W43" s="57">
        <f t="shared" si="9"/>
        <v>0</v>
      </c>
      <c r="X43" s="57">
        <f t="shared" si="9"/>
        <v>0</v>
      </c>
      <c r="Y43" s="57">
        <f t="shared" si="9"/>
        <v>0</v>
      </c>
      <c r="Z43" s="57">
        <f t="shared" si="9"/>
        <v>0</v>
      </c>
      <c r="AA43" s="57">
        <f t="shared" si="9"/>
        <v>0</v>
      </c>
      <c r="AB43" s="57">
        <f t="shared" si="9"/>
        <v>0</v>
      </c>
      <c r="AC43" s="57">
        <f t="shared" si="3"/>
        <v>0</v>
      </c>
      <c r="AD43" s="57">
        <f t="shared" si="1"/>
        <v>0</v>
      </c>
      <c r="AE43" s="1"/>
      <c r="AF43" s="1"/>
      <c r="AG43" s="1"/>
      <c r="AH43" s="1"/>
      <c r="AI43" s="1"/>
      <c r="AJ43" s="1"/>
      <c r="AK43" s="1"/>
      <c r="AL43" s="1"/>
      <c r="AM43" s="1"/>
      <c r="AN43" s="1"/>
      <c r="AO43" s="1"/>
      <c r="AP43" s="1"/>
      <c r="AQ43" s="1"/>
      <c r="AR43" s="1"/>
      <c r="AS43" s="1"/>
      <c r="AT43" s="1"/>
      <c r="AU43" s="1"/>
      <c r="AV43" s="1"/>
      <c r="AW43" s="1"/>
      <c r="AX43" s="1"/>
      <c r="AY43" s="1"/>
    </row>
    <row r="44" spans="1:51" x14ac:dyDescent="0.25">
      <c r="A44" s="56"/>
      <c r="B44" s="57">
        <f>IF($B$14=0,0,$B$14*B6+$C$14*B7+$D$14*B8+$E$14*B9+$F$14*B10+$G$14*B11+$H$14*B12+$I$14*B13+$J$14*B14+$K$14*B15+$L$14*B16+$M$14*B17+$N$14*B18+$O$14*B19+$P$14*B20+$Q$14*B21+$R$14*B22+$S$14*B23+$T$14*B24+$U$14*B25+$V$14*B26+$W$14*B27+$X$14*B28+$Y$14*B29+$Z$14*B30+$AA$14*B31+$AB$14*B32)</f>
        <v>0</v>
      </c>
      <c r="C44" s="57">
        <f t="shared" ref="C44:AB44" si="10">IF($B$14=0,0,$B$14*C6+$C$14*C7+$D$14*C8+$E$14*C9+$F$14*C10+$G$14*C11+$H$14*C12+$I$14*C13+$J$14*C14+$K$14*C15+$L$14*C16+$M$14*C17+$N$14*C18+$O$14*C19+$P$14*C20+$Q$14*C21+$R$14*C22+$S$14*C23+$T$14*C24+$U$14*C25+$V$14*C26+$W$14*C27+$X$14*C28+$Y$14*C29+$Z$14*C30+$AA$14*C31+$AB$14*C32)</f>
        <v>0</v>
      </c>
      <c r="D44" s="57">
        <f t="shared" si="10"/>
        <v>0</v>
      </c>
      <c r="E44" s="57">
        <f t="shared" si="10"/>
        <v>0</v>
      </c>
      <c r="F44" s="57">
        <f t="shared" si="10"/>
        <v>0</v>
      </c>
      <c r="G44" s="57">
        <f t="shared" si="10"/>
        <v>0</v>
      </c>
      <c r="H44" s="57">
        <f t="shared" si="10"/>
        <v>0</v>
      </c>
      <c r="I44" s="57">
        <f t="shared" si="10"/>
        <v>0</v>
      </c>
      <c r="J44" s="57">
        <f t="shared" si="10"/>
        <v>0</v>
      </c>
      <c r="K44" s="57">
        <f t="shared" si="10"/>
        <v>0</v>
      </c>
      <c r="L44" s="57">
        <f t="shared" si="10"/>
        <v>0</v>
      </c>
      <c r="M44" s="57">
        <f t="shared" si="10"/>
        <v>0</v>
      </c>
      <c r="N44" s="57">
        <f t="shared" si="10"/>
        <v>0</v>
      </c>
      <c r="O44" s="57">
        <f t="shared" si="10"/>
        <v>0</v>
      </c>
      <c r="P44" s="57">
        <f t="shared" si="10"/>
        <v>0</v>
      </c>
      <c r="Q44" s="57">
        <f t="shared" si="10"/>
        <v>0</v>
      </c>
      <c r="R44" s="57">
        <f t="shared" si="10"/>
        <v>0</v>
      </c>
      <c r="S44" s="57">
        <f t="shared" si="10"/>
        <v>0</v>
      </c>
      <c r="T44" s="57">
        <f t="shared" si="10"/>
        <v>0</v>
      </c>
      <c r="U44" s="57">
        <f t="shared" si="10"/>
        <v>0</v>
      </c>
      <c r="V44" s="57">
        <f t="shared" si="10"/>
        <v>0</v>
      </c>
      <c r="W44" s="57">
        <f t="shared" si="10"/>
        <v>0</v>
      </c>
      <c r="X44" s="57">
        <f t="shared" si="10"/>
        <v>0</v>
      </c>
      <c r="Y44" s="57">
        <f t="shared" si="10"/>
        <v>0</v>
      </c>
      <c r="Z44" s="57">
        <f t="shared" si="10"/>
        <v>0</v>
      </c>
      <c r="AA44" s="57">
        <f t="shared" si="10"/>
        <v>0</v>
      </c>
      <c r="AB44" s="57">
        <f t="shared" si="10"/>
        <v>0</v>
      </c>
      <c r="AC44" s="57">
        <f t="shared" si="3"/>
        <v>0</v>
      </c>
      <c r="AD44" s="57">
        <f t="shared" si="1"/>
        <v>0</v>
      </c>
      <c r="AE44" s="1"/>
      <c r="AF44" s="1"/>
      <c r="AG44" s="1"/>
      <c r="AH44" s="1"/>
      <c r="AI44" s="1"/>
      <c r="AJ44" s="1"/>
      <c r="AK44" s="1"/>
      <c r="AL44" s="1"/>
      <c r="AM44" s="1"/>
      <c r="AN44" s="1"/>
      <c r="AO44" s="1"/>
      <c r="AP44" s="1"/>
      <c r="AQ44" s="1"/>
      <c r="AR44" s="1"/>
      <c r="AS44" s="1"/>
      <c r="AT44" s="1"/>
      <c r="AU44" s="1"/>
      <c r="AV44" s="1"/>
      <c r="AW44" s="1"/>
      <c r="AX44" s="1"/>
      <c r="AY44" s="1"/>
    </row>
    <row r="45" spans="1:51" x14ac:dyDescent="0.25">
      <c r="A45" s="56"/>
      <c r="B45" s="57">
        <f>IF($B$15=0,0,$B$15*B6+$C$15*B7+$D$15*B8+$E$15*B9+$F$15*B10+$G$15*B11+$H$15*B12+$I$15*B13+$J$15*B14+$K$15*B15+$L$15*B16+$M$15*B17+$N$15*B18+$O$15*B19+$P$15*B20+$Q$15*B21+$R$15*B22+$S$15*B23+$T$15*B24+$U$15*B25+$V$15*B26+$W$15*B27+$X$15*B28+$Y$15*B29+$Z$15*B30+$AA$15*B31+$AB$15*B32)</f>
        <v>0</v>
      </c>
      <c r="C45" s="57">
        <f t="shared" ref="C45:AB45" si="11">IF($B$15=0,0,$B$15*C6+$C$15*C7+$D$15*C8+$E$15*C9+$F$15*C10+$G$15*C11+$H$15*C12+$I$15*C13+$J$15*C14+$K$15*C15+$L$15*C16+$M$15*C17+$N$15*C18+$O$15*C19+$P$15*C20+$Q$15*C21+$R$15*C22+$S$15*C23+$T$15*C24+$U$15*C25+$V$15*C26+$W$15*C27+$X$15*C28+$Y$15*C29+$Z$15*C30+$AA$15*C31+$AB$15*C32)</f>
        <v>0</v>
      </c>
      <c r="D45" s="57">
        <f t="shared" si="11"/>
        <v>0</v>
      </c>
      <c r="E45" s="57">
        <f t="shared" si="11"/>
        <v>0</v>
      </c>
      <c r="F45" s="57">
        <f t="shared" si="11"/>
        <v>0</v>
      </c>
      <c r="G45" s="57">
        <f t="shared" si="11"/>
        <v>0</v>
      </c>
      <c r="H45" s="57">
        <f t="shared" si="11"/>
        <v>0</v>
      </c>
      <c r="I45" s="57">
        <f t="shared" si="11"/>
        <v>0</v>
      </c>
      <c r="J45" s="57">
        <f t="shared" si="11"/>
        <v>0</v>
      </c>
      <c r="K45" s="57">
        <f t="shared" si="11"/>
        <v>0</v>
      </c>
      <c r="L45" s="57">
        <f t="shared" si="11"/>
        <v>0</v>
      </c>
      <c r="M45" s="57">
        <f t="shared" si="11"/>
        <v>0</v>
      </c>
      <c r="N45" s="57">
        <f t="shared" si="11"/>
        <v>0</v>
      </c>
      <c r="O45" s="57">
        <f t="shared" si="11"/>
        <v>0</v>
      </c>
      <c r="P45" s="57">
        <f t="shared" si="11"/>
        <v>0</v>
      </c>
      <c r="Q45" s="57">
        <f t="shared" si="11"/>
        <v>0</v>
      </c>
      <c r="R45" s="57">
        <f t="shared" si="11"/>
        <v>0</v>
      </c>
      <c r="S45" s="57">
        <f t="shared" si="11"/>
        <v>0</v>
      </c>
      <c r="T45" s="57">
        <f t="shared" si="11"/>
        <v>0</v>
      </c>
      <c r="U45" s="57">
        <f t="shared" si="11"/>
        <v>0</v>
      </c>
      <c r="V45" s="57">
        <f t="shared" si="11"/>
        <v>0</v>
      </c>
      <c r="W45" s="57">
        <f t="shared" si="11"/>
        <v>0</v>
      </c>
      <c r="X45" s="57">
        <f t="shared" si="11"/>
        <v>0</v>
      </c>
      <c r="Y45" s="57">
        <f t="shared" si="11"/>
        <v>0</v>
      </c>
      <c r="Z45" s="57">
        <f t="shared" si="11"/>
        <v>0</v>
      </c>
      <c r="AA45" s="57">
        <f t="shared" si="11"/>
        <v>0</v>
      </c>
      <c r="AB45" s="57">
        <f t="shared" si="11"/>
        <v>0</v>
      </c>
      <c r="AC45" s="57">
        <f t="shared" si="3"/>
        <v>0</v>
      </c>
      <c r="AD45" s="57">
        <f t="shared" si="1"/>
        <v>0</v>
      </c>
      <c r="AE45" s="1"/>
      <c r="AF45" s="1"/>
      <c r="AG45" s="1"/>
      <c r="AH45" s="1"/>
      <c r="AI45" s="1"/>
      <c r="AJ45" s="1"/>
      <c r="AK45" s="1"/>
      <c r="AL45" s="1"/>
      <c r="AM45" s="1"/>
      <c r="AN45" s="1"/>
      <c r="AO45" s="1"/>
      <c r="AP45" s="1"/>
      <c r="AQ45" s="1"/>
      <c r="AR45" s="1"/>
      <c r="AS45" s="1"/>
      <c r="AT45" s="1"/>
      <c r="AU45" s="1"/>
      <c r="AV45" s="1"/>
      <c r="AW45" s="1"/>
      <c r="AX45" s="1"/>
      <c r="AY45" s="1"/>
    </row>
    <row r="46" spans="1:51" x14ac:dyDescent="0.25">
      <c r="A46" s="56"/>
      <c r="B46" s="57">
        <f>IF($B$16=0,0,$B$16*B6+$C$16*B7+$D$16*B8+$E$16*B9+$F$16*B10+$G$16*B11+$H$16*B12+$I$16*B13+$J$16*B14+$K$16*B15+$L$16*B16+$M$16*B17+$N$16*B18+$O$16*B19+$P$16*B20+$Q$16*B21+$R$16*B22+$S$16*B23+$T$16*B24+$U$16*B25+$V$16*B26+$W$16*B27+$X$16*B28+$Y$16*B29+$Z$16*B30+$AA$16*B31+$AB$16*B32)</f>
        <v>0</v>
      </c>
      <c r="C46" s="57">
        <f t="shared" ref="C46:AB46" si="12">IF($B$16=0,0,$B$16*C6+$C$16*C7+$D$16*C8+$E$16*C9+$F$16*C10+$G$16*C11+$H$16*C12+$I$16*C13+$J$16*C14+$K$16*C15+$L$16*C16+$M$16*C17+$N$16*C18+$O$16*C19+$P$16*C20+$Q$16*C21+$R$16*C22+$S$16*C23+$T$16*C24+$U$16*C25+$V$16*C26+$W$16*C27+$X$16*C28+$Y$16*C29+$Z$16*C30+$AA$16*C31+$AB$16*C32)</f>
        <v>0</v>
      </c>
      <c r="D46" s="57">
        <f t="shared" si="12"/>
        <v>0</v>
      </c>
      <c r="E46" s="57">
        <f t="shared" si="12"/>
        <v>0</v>
      </c>
      <c r="F46" s="57">
        <f t="shared" si="12"/>
        <v>0</v>
      </c>
      <c r="G46" s="57">
        <f t="shared" si="12"/>
        <v>0</v>
      </c>
      <c r="H46" s="57">
        <f t="shared" si="12"/>
        <v>0</v>
      </c>
      <c r="I46" s="57">
        <f t="shared" si="12"/>
        <v>0</v>
      </c>
      <c r="J46" s="57">
        <f t="shared" si="12"/>
        <v>0</v>
      </c>
      <c r="K46" s="57">
        <f t="shared" si="12"/>
        <v>0</v>
      </c>
      <c r="L46" s="57">
        <f t="shared" si="12"/>
        <v>0</v>
      </c>
      <c r="M46" s="57">
        <f t="shared" si="12"/>
        <v>0</v>
      </c>
      <c r="N46" s="57">
        <f t="shared" si="12"/>
        <v>0</v>
      </c>
      <c r="O46" s="57">
        <f t="shared" si="12"/>
        <v>0</v>
      </c>
      <c r="P46" s="57">
        <f t="shared" si="12"/>
        <v>0</v>
      </c>
      <c r="Q46" s="57">
        <f t="shared" si="12"/>
        <v>0</v>
      </c>
      <c r="R46" s="57">
        <f t="shared" si="12"/>
        <v>0</v>
      </c>
      <c r="S46" s="57">
        <f t="shared" si="12"/>
        <v>0</v>
      </c>
      <c r="T46" s="57">
        <f t="shared" si="12"/>
        <v>0</v>
      </c>
      <c r="U46" s="57">
        <f t="shared" si="12"/>
        <v>0</v>
      </c>
      <c r="V46" s="57">
        <f t="shared" si="12"/>
        <v>0</v>
      </c>
      <c r="W46" s="57">
        <f t="shared" si="12"/>
        <v>0</v>
      </c>
      <c r="X46" s="57">
        <f t="shared" si="12"/>
        <v>0</v>
      </c>
      <c r="Y46" s="57">
        <f t="shared" si="12"/>
        <v>0</v>
      </c>
      <c r="Z46" s="57">
        <f t="shared" si="12"/>
        <v>0</v>
      </c>
      <c r="AA46" s="57">
        <f t="shared" si="12"/>
        <v>0</v>
      </c>
      <c r="AB46" s="57">
        <f t="shared" si="12"/>
        <v>0</v>
      </c>
      <c r="AC46" s="57">
        <f t="shared" si="3"/>
        <v>0</v>
      </c>
      <c r="AD46" s="57">
        <f t="shared" si="1"/>
        <v>0</v>
      </c>
      <c r="AE46" s="1"/>
      <c r="AF46" s="1"/>
      <c r="AG46" s="1"/>
      <c r="AH46" s="1"/>
      <c r="AI46" s="1"/>
      <c r="AJ46" s="1"/>
      <c r="AK46" s="1"/>
      <c r="AL46" s="1"/>
      <c r="AM46" s="1"/>
      <c r="AN46" s="1"/>
      <c r="AO46" s="1"/>
      <c r="AP46" s="1"/>
      <c r="AQ46" s="1"/>
      <c r="AR46" s="1"/>
      <c r="AS46" s="1"/>
      <c r="AT46" s="1"/>
      <c r="AU46" s="1"/>
      <c r="AV46" s="1"/>
      <c r="AW46" s="1"/>
      <c r="AX46" s="1"/>
      <c r="AY46" s="1"/>
    </row>
    <row r="47" spans="1:51" x14ac:dyDescent="0.25">
      <c r="A47" s="56"/>
      <c r="B47" s="57">
        <f>IF($B$17=0,0,$B$17*B6+$C$17*B7+$D$17*B8+$E$17*B9+$F$17*B10+$G$17*B11+$H$17*B12+$I$17*B13+$J$17*B14+$K$17*B15+$L$17*B16+$M$17*B17+$N$17*B18+$O$17*B19+$P$17*B20+$Q$17*B21+$R$17*B22+$S$17*B23+$T$17*B24+$U$17*B25+$V$17*B26+$W$17*B27+$X$17*B28+$Y$17*B29+$Z$17*B30+$AA$17*B31+$AB$17*B32)</f>
        <v>0</v>
      </c>
      <c r="C47" s="57">
        <f t="shared" ref="C47:AB47" si="13">IF($B$17=0,0,$B$17*C6+$C$17*C7+$D$17*C8+$E$17*C9+$F$17*C10+$G$17*C11+$H$17*C12+$I$17*C13+$J$17*C14+$K$17*C15+$L$17*C16+$M$17*C17+$N$17*C18+$O$17*C19+$P$17*C20+$Q$17*C21+$R$17*C22+$S$17*C23+$T$17*C24+$U$17*C25+$V$17*C26+$W$17*C27+$X$17*C28+$Y$17*C29+$Z$17*C30+$AA$17*C31+$AB$17*C32)</f>
        <v>0</v>
      </c>
      <c r="D47" s="57">
        <f t="shared" si="13"/>
        <v>0</v>
      </c>
      <c r="E47" s="57">
        <f t="shared" si="13"/>
        <v>0</v>
      </c>
      <c r="F47" s="57">
        <f t="shared" si="13"/>
        <v>0</v>
      </c>
      <c r="G47" s="57">
        <f t="shared" si="13"/>
        <v>0</v>
      </c>
      <c r="H47" s="57">
        <f t="shared" si="13"/>
        <v>0</v>
      </c>
      <c r="I47" s="57">
        <f t="shared" si="13"/>
        <v>0</v>
      </c>
      <c r="J47" s="57">
        <f t="shared" si="13"/>
        <v>0</v>
      </c>
      <c r="K47" s="57">
        <f t="shared" si="13"/>
        <v>0</v>
      </c>
      <c r="L47" s="57">
        <f t="shared" si="13"/>
        <v>0</v>
      </c>
      <c r="M47" s="57">
        <f t="shared" si="13"/>
        <v>0</v>
      </c>
      <c r="N47" s="57">
        <f t="shared" si="13"/>
        <v>0</v>
      </c>
      <c r="O47" s="57">
        <f t="shared" si="13"/>
        <v>0</v>
      </c>
      <c r="P47" s="57">
        <f t="shared" si="13"/>
        <v>0</v>
      </c>
      <c r="Q47" s="57">
        <f t="shared" si="13"/>
        <v>0</v>
      </c>
      <c r="R47" s="57">
        <f t="shared" si="13"/>
        <v>0</v>
      </c>
      <c r="S47" s="57">
        <f t="shared" si="13"/>
        <v>0</v>
      </c>
      <c r="T47" s="57">
        <f t="shared" si="13"/>
        <v>0</v>
      </c>
      <c r="U47" s="57">
        <f t="shared" si="13"/>
        <v>0</v>
      </c>
      <c r="V47" s="57">
        <f t="shared" si="13"/>
        <v>0</v>
      </c>
      <c r="W47" s="57">
        <f t="shared" si="13"/>
        <v>0</v>
      </c>
      <c r="X47" s="57">
        <f t="shared" si="13"/>
        <v>0</v>
      </c>
      <c r="Y47" s="57">
        <f t="shared" si="13"/>
        <v>0</v>
      </c>
      <c r="Z47" s="57">
        <f t="shared" si="13"/>
        <v>0</v>
      </c>
      <c r="AA47" s="57">
        <f t="shared" si="13"/>
        <v>0</v>
      </c>
      <c r="AB47" s="57">
        <f t="shared" si="13"/>
        <v>0</v>
      </c>
      <c r="AC47" s="57">
        <f t="shared" si="3"/>
        <v>0</v>
      </c>
      <c r="AD47" s="57">
        <f t="shared" si="1"/>
        <v>0</v>
      </c>
      <c r="AE47" s="1"/>
      <c r="AF47" s="1"/>
      <c r="AG47" s="1"/>
      <c r="AH47" s="1"/>
      <c r="AI47" s="1"/>
      <c r="AJ47" s="1"/>
      <c r="AK47" s="1"/>
      <c r="AL47" s="1"/>
      <c r="AM47" s="1"/>
      <c r="AN47" s="1"/>
      <c r="AO47" s="1"/>
      <c r="AP47" s="1"/>
      <c r="AQ47" s="1"/>
      <c r="AR47" s="1"/>
      <c r="AS47" s="1"/>
      <c r="AT47" s="1"/>
      <c r="AU47" s="1"/>
      <c r="AV47" s="1"/>
      <c r="AW47" s="1"/>
      <c r="AX47" s="1"/>
      <c r="AY47" s="1"/>
    </row>
    <row r="48" spans="1:51" x14ac:dyDescent="0.25">
      <c r="A48" s="56"/>
      <c r="B48" s="57">
        <f>IF($B$18=0,0,$B$18*B6+$C$18*B7+$D$18*B8+$E$18*B9+$F$18*B10+$G$18*B11+$H$18*B12+$I$18*B13+$J$18*B14+$K$18*B15+$L$18*B16+$M$18*B17+$N$18*B18+$O$18*B19+$P$18*B20+$Q$18*B21+$R$18*B22+$S$18*B23+$T$18*B24+$U$18*B25+$V$18*B26+$W$18*B27+$X$18*B28+$Y$18*B29+$Z$18*B30+$AA$18*B31+$AB$18*B32)</f>
        <v>0</v>
      </c>
      <c r="C48" s="57">
        <f t="shared" ref="C48:AB48" si="14">IF($B$18=0,0,$B$18*C6+$C$18*C7+$D$18*C8+$E$18*C9+$F$18*C10+$G$18*C11+$H$18*C12+$I$18*C13+$J$18*C14+$K$18*C15+$L$18*C16+$M$18*C17+$N$18*C18+$O$18*C19+$P$18*C20+$Q$18*C21+$R$18*C22+$S$18*C23+$T$18*C24+$U$18*C25+$V$18*C26+$W$18*C27+$X$18*C28+$Y$18*C29+$Z$18*C30+$AA$18*C31+$AB$18*C32)</f>
        <v>0</v>
      </c>
      <c r="D48" s="57">
        <f t="shared" si="14"/>
        <v>0</v>
      </c>
      <c r="E48" s="57">
        <f t="shared" si="14"/>
        <v>0</v>
      </c>
      <c r="F48" s="57">
        <f t="shared" si="14"/>
        <v>0</v>
      </c>
      <c r="G48" s="57">
        <f t="shared" si="14"/>
        <v>0</v>
      </c>
      <c r="H48" s="57">
        <f t="shared" si="14"/>
        <v>0</v>
      </c>
      <c r="I48" s="57">
        <f t="shared" si="14"/>
        <v>0</v>
      </c>
      <c r="J48" s="57">
        <f t="shared" si="14"/>
        <v>0</v>
      </c>
      <c r="K48" s="57">
        <f t="shared" si="14"/>
        <v>0</v>
      </c>
      <c r="L48" s="57">
        <f t="shared" si="14"/>
        <v>0</v>
      </c>
      <c r="M48" s="57">
        <f t="shared" si="14"/>
        <v>0</v>
      </c>
      <c r="N48" s="57">
        <f t="shared" si="14"/>
        <v>0</v>
      </c>
      <c r="O48" s="57">
        <f t="shared" si="14"/>
        <v>0</v>
      </c>
      <c r="P48" s="57">
        <f t="shared" si="14"/>
        <v>0</v>
      </c>
      <c r="Q48" s="57">
        <f t="shared" si="14"/>
        <v>0</v>
      </c>
      <c r="R48" s="57">
        <f t="shared" si="14"/>
        <v>0</v>
      </c>
      <c r="S48" s="57">
        <f t="shared" si="14"/>
        <v>0</v>
      </c>
      <c r="T48" s="57">
        <f t="shared" si="14"/>
        <v>0</v>
      </c>
      <c r="U48" s="57">
        <f t="shared" si="14"/>
        <v>0</v>
      </c>
      <c r="V48" s="57">
        <f t="shared" si="14"/>
        <v>0</v>
      </c>
      <c r="W48" s="57">
        <f t="shared" si="14"/>
        <v>0</v>
      </c>
      <c r="X48" s="57">
        <f t="shared" si="14"/>
        <v>0</v>
      </c>
      <c r="Y48" s="57">
        <f t="shared" si="14"/>
        <v>0</v>
      </c>
      <c r="Z48" s="57">
        <f t="shared" si="14"/>
        <v>0</v>
      </c>
      <c r="AA48" s="57">
        <f t="shared" si="14"/>
        <v>0</v>
      </c>
      <c r="AB48" s="57">
        <f t="shared" si="14"/>
        <v>0</v>
      </c>
      <c r="AC48" s="57">
        <f t="shared" si="3"/>
        <v>0</v>
      </c>
      <c r="AD48" s="57">
        <f t="shared" si="1"/>
        <v>0</v>
      </c>
      <c r="AE48" s="1"/>
      <c r="AF48" s="1"/>
      <c r="AG48" s="1"/>
      <c r="AH48" s="1"/>
      <c r="AI48" s="1"/>
      <c r="AJ48" s="1"/>
      <c r="AK48" s="1"/>
      <c r="AL48" s="1"/>
      <c r="AM48" s="1"/>
      <c r="AN48" s="1"/>
      <c r="AO48" s="1"/>
      <c r="AP48" s="1"/>
      <c r="AQ48" s="1"/>
      <c r="AR48" s="1"/>
      <c r="AS48" s="1"/>
      <c r="AT48" s="1"/>
      <c r="AU48" s="1"/>
      <c r="AV48" s="1"/>
      <c r="AW48" s="1"/>
      <c r="AX48" s="1"/>
      <c r="AY48" s="1"/>
    </row>
    <row r="49" spans="1:51" x14ac:dyDescent="0.25">
      <c r="A49" s="56"/>
      <c r="B49" s="57">
        <f>IF($B$19=0,0,$B$19*B6+$C$19*B7+$D$19*B8+$E$19*B9+$F$19*B10+$G$19*B11+$H$19*B12+$I$19*B13+$J$19*B14+$K$19*B15+$L$19*B16+$M$19*B17+$N$19*B18+$O$19*B19+$P$19*B20+$Q$19*B21+$R$19*B22+$S$19*B23+$T$19*B24+$U$19*B25+$V$19*B26+$W$19*B27+$X$19*B28+$Y$19*B29+$Z$19*B30+$AA$19*B31+$AB$19*B32)</f>
        <v>0</v>
      </c>
      <c r="C49" s="57">
        <f t="shared" ref="C49:AB49" si="15">IF($B$19=0,0,$B$19*C6+$C$19*C7+$D$19*C8+$E$19*C9+$F$19*C10+$G$19*C11+$H$19*C12+$I$19*C13+$J$19*C14+$K$19*C15+$L$19*C16+$M$19*C17+$N$19*C18+$O$19*C19+$P$19*C20+$Q$19*C21+$R$19*C22+$S$19*C23+$T$19*C24+$U$19*C25+$V$19*C26+$W$19*C27+$X$19*C28+$Y$19*C29+$Z$19*C30+$AA$19*C31+$AB$19*C32)</f>
        <v>0</v>
      </c>
      <c r="D49" s="57">
        <f t="shared" si="15"/>
        <v>0</v>
      </c>
      <c r="E49" s="57">
        <f t="shared" si="15"/>
        <v>0</v>
      </c>
      <c r="F49" s="57">
        <f t="shared" si="15"/>
        <v>0</v>
      </c>
      <c r="G49" s="57">
        <f t="shared" si="15"/>
        <v>0</v>
      </c>
      <c r="H49" s="57">
        <f t="shared" si="15"/>
        <v>0</v>
      </c>
      <c r="I49" s="57">
        <f t="shared" si="15"/>
        <v>0</v>
      </c>
      <c r="J49" s="57">
        <f t="shared" si="15"/>
        <v>0</v>
      </c>
      <c r="K49" s="57">
        <f t="shared" si="15"/>
        <v>0</v>
      </c>
      <c r="L49" s="57">
        <f t="shared" si="15"/>
        <v>0</v>
      </c>
      <c r="M49" s="57">
        <f t="shared" si="15"/>
        <v>0</v>
      </c>
      <c r="N49" s="57">
        <f t="shared" si="15"/>
        <v>0</v>
      </c>
      <c r="O49" s="57">
        <f t="shared" si="15"/>
        <v>0</v>
      </c>
      <c r="P49" s="57">
        <f t="shared" si="15"/>
        <v>0</v>
      </c>
      <c r="Q49" s="57">
        <f t="shared" si="15"/>
        <v>0</v>
      </c>
      <c r="R49" s="57">
        <f t="shared" si="15"/>
        <v>0</v>
      </c>
      <c r="S49" s="57">
        <f t="shared" si="15"/>
        <v>0</v>
      </c>
      <c r="T49" s="57">
        <f t="shared" si="15"/>
        <v>0</v>
      </c>
      <c r="U49" s="57">
        <f t="shared" si="15"/>
        <v>0</v>
      </c>
      <c r="V49" s="57">
        <f t="shared" si="15"/>
        <v>0</v>
      </c>
      <c r="W49" s="57">
        <f t="shared" si="15"/>
        <v>0</v>
      </c>
      <c r="X49" s="57">
        <f t="shared" si="15"/>
        <v>0</v>
      </c>
      <c r="Y49" s="57">
        <f t="shared" si="15"/>
        <v>0</v>
      </c>
      <c r="Z49" s="57">
        <f t="shared" si="15"/>
        <v>0</v>
      </c>
      <c r="AA49" s="57">
        <f t="shared" si="15"/>
        <v>0</v>
      </c>
      <c r="AB49" s="57">
        <f t="shared" si="15"/>
        <v>0</v>
      </c>
      <c r="AC49" s="57">
        <f t="shared" si="3"/>
        <v>0</v>
      </c>
      <c r="AD49" s="57">
        <f t="shared" si="1"/>
        <v>0</v>
      </c>
      <c r="AE49" s="1"/>
      <c r="AF49" s="1"/>
      <c r="AG49" s="1"/>
      <c r="AH49" s="1"/>
      <c r="AI49" s="1"/>
      <c r="AJ49" s="1"/>
      <c r="AK49" s="1"/>
      <c r="AL49" s="1"/>
      <c r="AM49" s="1"/>
      <c r="AN49" s="1"/>
      <c r="AO49" s="1"/>
      <c r="AP49" s="1"/>
      <c r="AQ49" s="1"/>
      <c r="AR49" s="1"/>
      <c r="AS49" s="1"/>
      <c r="AT49" s="1"/>
      <c r="AU49" s="1"/>
      <c r="AV49" s="1"/>
      <c r="AW49" s="1"/>
      <c r="AX49" s="1"/>
      <c r="AY49" s="1"/>
    </row>
    <row r="50" spans="1:51" x14ac:dyDescent="0.25">
      <c r="A50" s="56"/>
      <c r="B50" s="57">
        <f>IF($B$20=0,0,$B$20*B6+$C$20*B7+$D$20*B8+$E$20*B9+$F$20*B10+$G$20*B11+$H$20*B12+$I$20*B13+$J$20*B14+$K$20*B15+$L$20*B16+$M$20*B17+$N$20*B18+$O$20*B19+$P$20*B20+$Q$20*B21+$R$20*B22+$S$20*B23+$T$20*B24+$U$20*B25+$V$20*B26+$W$20*B27+$X$20*B28+$Y$20*B29+$Z$20*B30+$AA$20*B31+$AB$20*B32)</f>
        <v>0</v>
      </c>
      <c r="C50" s="57">
        <f t="shared" ref="C50:AB50" si="16">IF($B$20=0,0,$B$20*C6+$C$20*C7+$D$20*C8+$E$20*C9+$F$20*C10+$G$20*C11+$H$20*C12+$I$20*C13+$J$20*C14+$K$20*C15+$L$20*C16+$M$20*C17+$N$20*C18+$O$20*C19+$P$20*C20+$Q$20*C21+$R$20*C22+$S$20*C23+$T$20*C24+$U$20*C25+$V$20*C26+$W$20*C27+$X$20*C28+$Y$20*C29+$Z$20*C30+$AA$20*C31+$AB$20*C32)</f>
        <v>0</v>
      </c>
      <c r="D50" s="57">
        <f t="shared" si="16"/>
        <v>0</v>
      </c>
      <c r="E50" s="57">
        <f t="shared" si="16"/>
        <v>0</v>
      </c>
      <c r="F50" s="57">
        <f t="shared" si="16"/>
        <v>0</v>
      </c>
      <c r="G50" s="57">
        <f t="shared" si="16"/>
        <v>0</v>
      </c>
      <c r="H50" s="57">
        <f t="shared" si="16"/>
        <v>0</v>
      </c>
      <c r="I50" s="57">
        <f t="shared" si="16"/>
        <v>0</v>
      </c>
      <c r="J50" s="57">
        <f t="shared" si="16"/>
        <v>0</v>
      </c>
      <c r="K50" s="57">
        <f t="shared" si="16"/>
        <v>0</v>
      </c>
      <c r="L50" s="57">
        <f t="shared" si="16"/>
        <v>0</v>
      </c>
      <c r="M50" s="57">
        <f t="shared" si="16"/>
        <v>0</v>
      </c>
      <c r="N50" s="57">
        <f t="shared" si="16"/>
        <v>0</v>
      </c>
      <c r="O50" s="57">
        <f t="shared" si="16"/>
        <v>0</v>
      </c>
      <c r="P50" s="57">
        <f t="shared" si="16"/>
        <v>0</v>
      </c>
      <c r="Q50" s="57">
        <f t="shared" si="16"/>
        <v>0</v>
      </c>
      <c r="R50" s="57">
        <f t="shared" si="16"/>
        <v>0</v>
      </c>
      <c r="S50" s="57">
        <f t="shared" si="16"/>
        <v>0</v>
      </c>
      <c r="T50" s="57">
        <f t="shared" si="16"/>
        <v>0</v>
      </c>
      <c r="U50" s="57">
        <f t="shared" si="16"/>
        <v>0</v>
      </c>
      <c r="V50" s="57">
        <f t="shared" si="16"/>
        <v>0</v>
      </c>
      <c r="W50" s="57">
        <f t="shared" si="16"/>
        <v>0</v>
      </c>
      <c r="X50" s="57">
        <f t="shared" si="16"/>
        <v>0</v>
      </c>
      <c r="Y50" s="57">
        <f t="shared" si="16"/>
        <v>0</v>
      </c>
      <c r="Z50" s="57">
        <f t="shared" si="16"/>
        <v>0</v>
      </c>
      <c r="AA50" s="57">
        <f t="shared" si="16"/>
        <v>0</v>
      </c>
      <c r="AB50" s="57">
        <f t="shared" si="16"/>
        <v>0</v>
      </c>
      <c r="AC50" s="57">
        <f t="shared" si="3"/>
        <v>0</v>
      </c>
      <c r="AD50" s="57">
        <f t="shared" si="1"/>
        <v>0</v>
      </c>
      <c r="AE50" s="1"/>
      <c r="AF50" s="1"/>
      <c r="AG50" s="1"/>
      <c r="AH50" s="1"/>
      <c r="AI50" s="1"/>
      <c r="AJ50" s="1"/>
      <c r="AK50" s="1"/>
      <c r="AL50" s="1"/>
      <c r="AM50" s="1"/>
      <c r="AN50" s="1"/>
      <c r="AO50" s="1"/>
      <c r="AP50" s="1"/>
      <c r="AQ50" s="1"/>
      <c r="AR50" s="1"/>
      <c r="AS50" s="1"/>
      <c r="AT50" s="1"/>
      <c r="AU50" s="1"/>
      <c r="AV50" s="1"/>
      <c r="AW50" s="1"/>
      <c r="AX50" s="1"/>
      <c r="AY50" s="1"/>
    </row>
    <row r="51" spans="1:51" x14ac:dyDescent="0.25">
      <c r="A51" s="56"/>
      <c r="B51" s="57">
        <f>IF($B$21=0,0,$B$21*B6+$C$21*B7+$D$21*B8+$E$21*B9+$F$21*B10+$G$21*B11+$H$21*B12+$I$21*B13+$J$21*B14+$K$21*B15+$L$21*B16+$M$21*B17+$N$21*B18+$O$21*B19+$P$21*B20+$Q$21*B21+$R$21*B22+$S$21*B23+$T$21*B24+$U$21*B25+$V$21*B26+$W$21*B27+$X$21*B28+$Y$21*B29+$Z$21*B30+$AA$21*B31+$AB$21*B32)</f>
        <v>0</v>
      </c>
      <c r="C51" s="57">
        <f t="shared" ref="C51:AB51" si="17">IF($B$21=0,0,$B$21*C6+$C$21*C7+$D$21*C8+$E$21*C9+$F$21*C10+$G$21*C11+$H$21*C12+$I$21*C13+$J$21*C14+$K$21*C15+$L$21*C16+$M$21*C17+$N$21*C18+$O$21*C19+$P$21*C20+$Q$21*C21+$R$21*C22+$S$21*C23+$T$21*C24+$U$21*C25+$V$21*C26+$W$21*C27+$X$21*C28+$Y$21*C29+$Z$21*C30+$AA$21*C31+$AB$21*C32)</f>
        <v>0</v>
      </c>
      <c r="D51" s="57">
        <f t="shared" si="17"/>
        <v>0</v>
      </c>
      <c r="E51" s="57">
        <f t="shared" si="17"/>
        <v>0</v>
      </c>
      <c r="F51" s="57">
        <f t="shared" si="17"/>
        <v>0</v>
      </c>
      <c r="G51" s="57">
        <f t="shared" si="17"/>
        <v>0</v>
      </c>
      <c r="H51" s="57">
        <f t="shared" si="17"/>
        <v>0</v>
      </c>
      <c r="I51" s="57">
        <f t="shared" si="17"/>
        <v>0</v>
      </c>
      <c r="J51" s="57">
        <f t="shared" si="17"/>
        <v>0</v>
      </c>
      <c r="K51" s="57">
        <f t="shared" si="17"/>
        <v>0</v>
      </c>
      <c r="L51" s="57">
        <f t="shared" si="17"/>
        <v>0</v>
      </c>
      <c r="M51" s="57">
        <f t="shared" si="17"/>
        <v>0</v>
      </c>
      <c r="N51" s="57">
        <f t="shared" si="17"/>
        <v>0</v>
      </c>
      <c r="O51" s="57">
        <f t="shared" si="17"/>
        <v>0</v>
      </c>
      <c r="P51" s="57">
        <f t="shared" si="17"/>
        <v>0</v>
      </c>
      <c r="Q51" s="57">
        <f t="shared" si="17"/>
        <v>0</v>
      </c>
      <c r="R51" s="57">
        <f t="shared" si="17"/>
        <v>0</v>
      </c>
      <c r="S51" s="57">
        <f t="shared" si="17"/>
        <v>0</v>
      </c>
      <c r="T51" s="57">
        <f t="shared" si="17"/>
        <v>0</v>
      </c>
      <c r="U51" s="57">
        <f t="shared" si="17"/>
        <v>0</v>
      </c>
      <c r="V51" s="57">
        <f t="shared" si="17"/>
        <v>0</v>
      </c>
      <c r="W51" s="57">
        <f t="shared" si="17"/>
        <v>0</v>
      </c>
      <c r="X51" s="57">
        <f t="shared" si="17"/>
        <v>0</v>
      </c>
      <c r="Y51" s="57">
        <f t="shared" si="17"/>
        <v>0</v>
      </c>
      <c r="Z51" s="57">
        <f t="shared" si="17"/>
        <v>0</v>
      </c>
      <c r="AA51" s="57">
        <f t="shared" si="17"/>
        <v>0</v>
      </c>
      <c r="AB51" s="57">
        <f t="shared" si="17"/>
        <v>0</v>
      </c>
      <c r="AC51" s="57">
        <f t="shared" si="3"/>
        <v>0</v>
      </c>
      <c r="AD51" s="57">
        <f t="shared" si="1"/>
        <v>0</v>
      </c>
      <c r="AE51" s="1"/>
      <c r="AF51" s="1"/>
      <c r="AG51" s="1"/>
      <c r="AH51" s="1"/>
      <c r="AI51" s="1"/>
      <c r="AJ51" s="1"/>
      <c r="AK51" s="1"/>
      <c r="AL51" s="1"/>
      <c r="AM51" s="1"/>
      <c r="AN51" s="1"/>
      <c r="AO51" s="1"/>
      <c r="AP51" s="1"/>
      <c r="AQ51" s="1"/>
      <c r="AR51" s="1"/>
      <c r="AS51" s="1"/>
      <c r="AT51" s="1"/>
      <c r="AU51" s="1"/>
      <c r="AV51" s="1"/>
      <c r="AW51" s="1"/>
      <c r="AX51" s="1"/>
      <c r="AY51" s="1"/>
    </row>
    <row r="52" spans="1:51" x14ac:dyDescent="0.25">
      <c r="A52" s="56"/>
      <c r="B52" s="57">
        <f>IF($B$22=0,0,$B$22*B6+$C$22*B7+$D$22*B8+$E$22*B9+$F$22*B10+$G$22*B11+$H$22*B12+$I$22*B13+$J$22*B14+$K$22*B15+$L$22*B16+$M$22*B17+$N$22*B18+$O$22*B19+$P$22*B20+$Q$22*B21+$R$22*B22+$S$22*B23+$T$22*B24+$U$22*B25+$V$22*B26+$W$22*B27+$X$22*B28+$Y$22*B29+$Z$22*B30+$AA$22*B31+$AB$22*B32)</f>
        <v>0</v>
      </c>
      <c r="C52" s="57">
        <f t="shared" ref="C52:AB52" si="18">IF($B$22=0,0,$B$22*C6+$C$22*C7+$D$22*C8+$E$22*C9+$F$22*C10+$G$22*C11+$H$22*C12+$I$22*C13+$J$22*C14+$K$22*C15+$L$22*C16+$M$22*C17+$N$22*C18+$O$22*C19+$P$22*C20+$Q$22*C21+$R$22*C22+$S$22*C23+$T$22*C24+$U$22*C25+$V$22*C26+$W$22*C27+$X$22*C28+$Y$22*C29+$Z$22*C30+$AA$22*C31+$AB$22*C32)</f>
        <v>0</v>
      </c>
      <c r="D52" s="57">
        <f t="shared" si="18"/>
        <v>0</v>
      </c>
      <c r="E52" s="57">
        <f t="shared" si="18"/>
        <v>0</v>
      </c>
      <c r="F52" s="57">
        <f t="shared" si="18"/>
        <v>0</v>
      </c>
      <c r="G52" s="57">
        <f t="shared" si="18"/>
        <v>0</v>
      </c>
      <c r="H52" s="57">
        <f t="shared" si="18"/>
        <v>0</v>
      </c>
      <c r="I52" s="57">
        <f t="shared" si="18"/>
        <v>0</v>
      </c>
      <c r="J52" s="57">
        <f t="shared" si="18"/>
        <v>0</v>
      </c>
      <c r="K52" s="57">
        <f t="shared" si="18"/>
        <v>0</v>
      </c>
      <c r="L52" s="57">
        <f t="shared" si="18"/>
        <v>0</v>
      </c>
      <c r="M52" s="57">
        <f t="shared" si="18"/>
        <v>0</v>
      </c>
      <c r="N52" s="57">
        <f t="shared" si="18"/>
        <v>0</v>
      </c>
      <c r="O52" s="57">
        <f t="shared" si="18"/>
        <v>0</v>
      </c>
      <c r="P52" s="57">
        <f t="shared" si="18"/>
        <v>0</v>
      </c>
      <c r="Q52" s="57">
        <f t="shared" si="18"/>
        <v>0</v>
      </c>
      <c r="R52" s="57">
        <f t="shared" si="18"/>
        <v>0</v>
      </c>
      <c r="S52" s="57">
        <f t="shared" si="18"/>
        <v>0</v>
      </c>
      <c r="T52" s="57">
        <f t="shared" si="18"/>
        <v>0</v>
      </c>
      <c r="U52" s="57">
        <f t="shared" si="18"/>
        <v>0</v>
      </c>
      <c r="V52" s="57">
        <f t="shared" si="18"/>
        <v>0</v>
      </c>
      <c r="W52" s="57">
        <f t="shared" si="18"/>
        <v>0</v>
      </c>
      <c r="X52" s="57">
        <f t="shared" si="18"/>
        <v>0</v>
      </c>
      <c r="Y52" s="57">
        <f t="shared" si="18"/>
        <v>0</v>
      </c>
      <c r="Z52" s="57">
        <f t="shared" si="18"/>
        <v>0</v>
      </c>
      <c r="AA52" s="57">
        <f t="shared" si="18"/>
        <v>0</v>
      </c>
      <c r="AB52" s="57">
        <f t="shared" si="18"/>
        <v>0</v>
      </c>
      <c r="AC52" s="57">
        <f t="shared" si="3"/>
        <v>0</v>
      </c>
      <c r="AD52" s="57">
        <f t="shared" si="1"/>
        <v>0</v>
      </c>
      <c r="AE52" s="1"/>
      <c r="AF52" s="1"/>
      <c r="AG52" s="1"/>
      <c r="AH52" s="1"/>
      <c r="AI52" s="1"/>
      <c r="AJ52" s="1"/>
      <c r="AK52" s="1"/>
      <c r="AL52" s="1"/>
      <c r="AM52" s="1"/>
      <c r="AN52" s="1"/>
      <c r="AO52" s="1"/>
      <c r="AP52" s="1"/>
      <c r="AQ52" s="1"/>
      <c r="AR52" s="1"/>
      <c r="AS52" s="1"/>
      <c r="AT52" s="1"/>
      <c r="AU52" s="1"/>
      <c r="AV52" s="1"/>
      <c r="AW52" s="1"/>
      <c r="AX52" s="1"/>
      <c r="AY52" s="1"/>
    </row>
    <row r="53" spans="1:51" x14ac:dyDescent="0.25">
      <c r="A53" s="56"/>
      <c r="B53" s="57">
        <f>IF($B$23=0,0,$B$23*B6+$C$23*B7+$D$23*B8+$E$23*B9+$F$23*B10+$G$23*B11+$H$23*B12+$I$23*B13+$J$23*B14+$K$23*B15+$L$23*B16+$M$23*B17+$N$23*B18+$O$23*B19+$P$23*B20+$Q$23*B21+$R$23*B22+$S$23*B23+$T$23*B24+$U$23*B25+$V$23*B26+$W$23*B27+$X$23*B28+$Y$23*B29+$Z$23*B30+$AA$23*B31+$AB$23*B32)</f>
        <v>0</v>
      </c>
      <c r="C53" s="57">
        <f t="shared" ref="C53:AB53" si="19">IF($B$23=0,0,$B$23*C6+$C$23*C7+$D$23*C8+$E$23*C9+$F$23*C10+$G$23*C11+$H$23*C12+$I$23*C13+$J$23*C14+$K$23*C15+$L$23*C16+$M$23*C17+$N$23*C18+$O$23*C19+$P$23*C20+$Q$23*C21+$R$23*C22+$S$23*C23+$T$23*C24+$U$23*C25+$V$23*C26+$W$23*C27+$X$23*C28+$Y$23*C29+$Z$23*C30+$AA$23*C31+$AB$23*C32)</f>
        <v>0</v>
      </c>
      <c r="D53" s="57">
        <f t="shared" si="19"/>
        <v>0</v>
      </c>
      <c r="E53" s="57">
        <f t="shared" si="19"/>
        <v>0</v>
      </c>
      <c r="F53" s="57">
        <f t="shared" si="19"/>
        <v>0</v>
      </c>
      <c r="G53" s="57">
        <f t="shared" si="19"/>
        <v>0</v>
      </c>
      <c r="H53" s="57">
        <f t="shared" si="19"/>
        <v>0</v>
      </c>
      <c r="I53" s="57">
        <f t="shared" si="19"/>
        <v>0</v>
      </c>
      <c r="J53" s="57">
        <f t="shared" si="19"/>
        <v>0</v>
      </c>
      <c r="K53" s="57">
        <f t="shared" si="19"/>
        <v>0</v>
      </c>
      <c r="L53" s="57">
        <f t="shared" si="19"/>
        <v>0</v>
      </c>
      <c r="M53" s="57">
        <f t="shared" si="19"/>
        <v>0</v>
      </c>
      <c r="N53" s="57">
        <f t="shared" si="19"/>
        <v>0</v>
      </c>
      <c r="O53" s="57">
        <f t="shared" si="19"/>
        <v>0</v>
      </c>
      <c r="P53" s="57">
        <f t="shared" si="19"/>
        <v>0</v>
      </c>
      <c r="Q53" s="57">
        <f t="shared" si="19"/>
        <v>0</v>
      </c>
      <c r="R53" s="57">
        <f t="shared" si="19"/>
        <v>0</v>
      </c>
      <c r="S53" s="57">
        <f t="shared" si="19"/>
        <v>0</v>
      </c>
      <c r="T53" s="57">
        <f t="shared" si="19"/>
        <v>0</v>
      </c>
      <c r="U53" s="57">
        <f t="shared" si="19"/>
        <v>0</v>
      </c>
      <c r="V53" s="57">
        <f t="shared" si="19"/>
        <v>0</v>
      </c>
      <c r="W53" s="57">
        <f t="shared" si="19"/>
        <v>0</v>
      </c>
      <c r="X53" s="57">
        <f t="shared" si="19"/>
        <v>0</v>
      </c>
      <c r="Y53" s="57">
        <f t="shared" si="19"/>
        <v>0</v>
      </c>
      <c r="Z53" s="57">
        <f t="shared" si="19"/>
        <v>0</v>
      </c>
      <c r="AA53" s="57">
        <f t="shared" si="19"/>
        <v>0</v>
      </c>
      <c r="AB53" s="57">
        <f t="shared" si="19"/>
        <v>0</v>
      </c>
      <c r="AC53" s="57">
        <f t="shared" si="3"/>
        <v>0</v>
      </c>
      <c r="AD53" s="57">
        <f t="shared" si="1"/>
        <v>0</v>
      </c>
      <c r="AE53" s="1"/>
      <c r="AF53" s="1"/>
      <c r="AG53" s="1"/>
      <c r="AH53" s="1"/>
      <c r="AI53" s="1"/>
      <c r="AJ53" s="1"/>
      <c r="AK53" s="1"/>
      <c r="AL53" s="1"/>
      <c r="AM53" s="1"/>
      <c r="AN53" s="1"/>
      <c r="AO53" s="1"/>
      <c r="AP53" s="1"/>
      <c r="AQ53" s="1"/>
      <c r="AR53" s="1"/>
      <c r="AS53" s="1"/>
      <c r="AT53" s="1"/>
      <c r="AU53" s="1"/>
      <c r="AV53" s="1"/>
      <c r="AW53" s="1"/>
      <c r="AX53" s="1"/>
      <c r="AY53" s="1"/>
    </row>
    <row r="54" spans="1:51" x14ac:dyDescent="0.25">
      <c r="A54" s="56"/>
      <c r="B54" s="57">
        <f>IF($B$24=0,0,$B$24*B6+$C$24*B7+$D$24*B8+$E$24*B9+$F$24*B10+$G$24*B11+$H$24*B12+$I$24*B13+$J$24*B14+$K$24*B15+$L$24*B16+$M$24*B17+$N$24*B18+$O$24*B19+$P$24*B20+$Q$24*B21+$R$24*B22+$S$24*B23+$T$24*B24+$U$24*B25+$V$24*B26+$W$24*B27+$X$24*B28+$Y$24*B29+$Z$24*B30+$AA$24*B31+$AB$24*B32)</f>
        <v>0</v>
      </c>
      <c r="C54" s="57">
        <f t="shared" ref="C54:AB54" si="20">IF($B$24=0,0,$B$24*C6+$C$24*C7+$D$24*C8+$E$24*C9+$F$24*C10+$G$24*C11+$H$24*C12+$I$24*C13+$J$24*C14+$K$24*C15+$L$24*C16+$M$24*C17+$N$24*C18+$O$24*C19+$P$24*C20+$Q$24*C21+$R$24*C22+$S$24*C23+$T$24*C24+$U$24*C25+$V$24*C26+$W$24*C27+$X$24*C28+$Y$24*C29+$Z$24*C30+$AA$24*C31+$AB$24*C32)</f>
        <v>0</v>
      </c>
      <c r="D54" s="57">
        <f t="shared" si="20"/>
        <v>0</v>
      </c>
      <c r="E54" s="57">
        <f t="shared" si="20"/>
        <v>0</v>
      </c>
      <c r="F54" s="57">
        <f t="shared" si="20"/>
        <v>0</v>
      </c>
      <c r="G54" s="57">
        <f t="shared" si="20"/>
        <v>0</v>
      </c>
      <c r="H54" s="57">
        <f t="shared" si="20"/>
        <v>0</v>
      </c>
      <c r="I54" s="57">
        <f t="shared" si="20"/>
        <v>0</v>
      </c>
      <c r="J54" s="57">
        <f t="shared" si="20"/>
        <v>0</v>
      </c>
      <c r="K54" s="57">
        <f t="shared" si="20"/>
        <v>0</v>
      </c>
      <c r="L54" s="57">
        <f t="shared" si="20"/>
        <v>0</v>
      </c>
      <c r="M54" s="57">
        <f t="shared" si="20"/>
        <v>0</v>
      </c>
      <c r="N54" s="57">
        <f t="shared" si="20"/>
        <v>0</v>
      </c>
      <c r="O54" s="57">
        <f t="shared" si="20"/>
        <v>0</v>
      </c>
      <c r="P54" s="57">
        <f t="shared" si="20"/>
        <v>0</v>
      </c>
      <c r="Q54" s="57">
        <f t="shared" si="20"/>
        <v>0</v>
      </c>
      <c r="R54" s="57">
        <f t="shared" si="20"/>
        <v>0</v>
      </c>
      <c r="S54" s="57">
        <f t="shared" si="20"/>
        <v>0</v>
      </c>
      <c r="T54" s="57">
        <f t="shared" si="20"/>
        <v>0</v>
      </c>
      <c r="U54" s="57">
        <f t="shared" si="20"/>
        <v>0</v>
      </c>
      <c r="V54" s="57">
        <f t="shared" si="20"/>
        <v>0</v>
      </c>
      <c r="W54" s="57">
        <f t="shared" si="20"/>
        <v>0</v>
      </c>
      <c r="X54" s="57">
        <f t="shared" si="20"/>
        <v>0</v>
      </c>
      <c r="Y54" s="57">
        <f t="shared" si="20"/>
        <v>0</v>
      </c>
      <c r="Z54" s="57">
        <f t="shared" si="20"/>
        <v>0</v>
      </c>
      <c r="AA54" s="57">
        <f t="shared" si="20"/>
        <v>0</v>
      </c>
      <c r="AB54" s="57">
        <f t="shared" si="20"/>
        <v>0</v>
      </c>
      <c r="AC54" s="57">
        <f t="shared" si="3"/>
        <v>0</v>
      </c>
      <c r="AD54" s="57">
        <f t="shared" si="1"/>
        <v>0</v>
      </c>
      <c r="AE54" s="1"/>
      <c r="AF54" s="1"/>
      <c r="AG54" s="1"/>
      <c r="AH54" s="1"/>
      <c r="AI54" s="1"/>
      <c r="AJ54" s="1"/>
      <c r="AK54" s="1"/>
      <c r="AL54" s="1"/>
      <c r="AM54" s="1"/>
      <c r="AN54" s="1"/>
      <c r="AO54" s="1"/>
      <c r="AP54" s="1"/>
      <c r="AQ54" s="1"/>
      <c r="AR54" s="1"/>
      <c r="AS54" s="1"/>
      <c r="AT54" s="1"/>
      <c r="AU54" s="1"/>
      <c r="AV54" s="1"/>
      <c r="AW54" s="1"/>
      <c r="AX54" s="1"/>
      <c r="AY54" s="1"/>
    </row>
    <row r="55" spans="1:51" x14ac:dyDescent="0.25">
      <c r="A55" s="56"/>
      <c r="B55" s="57">
        <f>IF($B$25=0,0,$B$25*B6+$C$25*B7+$D$25*B8+$E$25*B9+$F$25*B10+$G$25*B11+$H$25*B12+$I$25*B13+$J$25*B14+$K$25*B15+$L$25*B16+$M$25*B17+$N$25*B18+$O$25*B19+$P$25*B20+$Q$25*B21+$R$25*B22+$S$25*B23+$T$25*B24+$U$25*B25+$V$25*B26+$W$25*B27+$X$25*B28+$Y$25*B29+$Z$25*B30+$AA$25*B31+$AB$25*B32)</f>
        <v>0</v>
      </c>
      <c r="C55" s="57">
        <f t="shared" ref="C55:AB55" si="21">IF($B$25=0,0,$B$25*C6+$C$25*C7+$D$25*C8+$E$25*C9+$F$25*C10+$G$25*C11+$H$25*C12+$I$25*C13+$J$25*C14+$K$25*C15+$L$25*C16+$M$25*C17+$N$25*C18+$O$25*C19+$P$25*C20+$Q$25*C21+$R$25*C22+$S$25*C23+$T$25*C24+$U$25*C25+$V$25*C26+$W$25*C27+$X$25*C28+$Y$25*C29+$Z$25*C30+$AA$25*C31+$AB$25*C32)</f>
        <v>0</v>
      </c>
      <c r="D55" s="57">
        <f t="shared" si="21"/>
        <v>0</v>
      </c>
      <c r="E55" s="57">
        <f t="shared" si="21"/>
        <v>0</v>
      </c>
      <c r="F55" s="57">
        <f t="shared" si="21"/>
        <v>0</v>
      </c>
      <c r="G55" s="57">
        <f t="shared" si="21"/>
        <v>0</v>
      </c>
      <c r="H55" s="57">
        <f t="shared" si="21"/>
        <v>0</v>
      </c>
      <c r="I55" s="57">
        <f t="shared" si="21"/>
        <v>0</v>
      </c>
      <c r="J55" s="57">
        <f t="shared" si="21"/>
        <v>0</v>
      </c>
      <c r="K55" s="57">
        <f t="shared" si="21"/>
        <v>0</v>
      </c>
      <c r="L55" s="57">
        <f t="shared" si="21"/>
        <v>0</v>
      </c>
      <c r="M55" s="57">
        <f t="shared" si="21"/>
        <v>0</v>
      </c>
      <c r="N55" s="57">
        <f t="shared" si="21"/>
        <v>0</v>
      </c>
      <c r="O55" s="57">
        <f t="shared" si="21"/>
        <v>0</v>
      </c>
      <c r="P55" s="57">
        <f t="shared" si="21"/>
        <v>0</v>
      </c>
      <c r="Q55" s="57">
        <f t="shared" si="21"/>
        <v>0</v>
      </c>
      <c r="R55" s="57">
        <f t="shared" si="21"/>
        <v>0</v>
      </c>
      <c r="S55" s="57">
        <f t="shared" si="21"/>
        <v>0</v>
      </c>
      <c r="T55" s="57">
        <f t="shared" si="21"/>
        <v>0</v>
      </c>
      <c r="U55" s="57">
        <f t="shared" si="21"/>
        <v>0</v>
      </c>
      <c r="V55" s="57">
        <f t="shared" si="21"/>
        <v>0</v>
      </c>
      <c r="W55" s="57">
        <f t="shared" si="21"/>
        <v>0</v>
      </c>
      <c r="X55" s="57">
        <f t="shared" si="21"/>
        <v>0</v>
      </c>
      <c r="Y55" s="57">
        <f t="shared" si="21"/>
        <v>0</v>
      </c>
      <c r="Z55" s="57">
        <f t="shared" si="21"/>
        <v>0</v>
      </c>
      <c r="AA55" s="57">
        <f t="shared" si="21"/>
        <v>0</v>
      </c>
      <c r="AB55" s="57">
        <f t="shared" si="21"/>
        <v>0</v>
      </c>
      <c r="AC55" s="57">
        <f t="shared" si="3"/>
        <v>0</v>
      </c>
      <c r="AD55" s="57">
        <f t="shared" si="1"/>
        <v>0</v>
      </c>
      <c r="AE55" s="1"/>
      <c r="AF55" s="1"/>
      <c r="AG55" s="1"/>
      <c r="AH55" s="1"/>
      <c r="AI55" s="1"/>
      <c r="AJ55" s="1"/>
      <c r="AK55" s="1"/>
      <c r="AL55" s="1"/>
      <c r="AM55" s="1"/>
      <c r="AN55" s="1"/>
      <c r="AO55" s="1"/>
      <c r="AP55" s="1"/>
      <c r="AQ55" s="1"/>
      <c r="AR55" s="1"/>
      <c r="AS55" s="1"/>
      <c r="AT55" s="1"/>
      <c r="AU55" s="1"/>
      <c r="AV55" s="1"/>
      <c r="AW55" s="1"/>
      <c r="AX55" s="1"/>
      <c r="AY55" s="1"/>
    </row>
    <row r="56" spans="1:51" x14ac:dyDescent="0.25">
      <c r="A56" s="56"/>
      <c r="B56" s="57">
        <f>IF($B$26=0,0,$B$26*B6+$C$26*B7+$D$26*B8+$E$26*B9+$F$26*B10+$G$26*B11+$H$26*B12+$I$26*B13+$J$26*B14+$K$26*B15+$L$26*B16+$M$26*B17+$N$26*B18+$O$26*B19+$P$26*B20+$Q$26*B21+$R$26*B22+$S$26*B23+$T$26*B24+$U$26*B25+$V$26*B26+$W$26*B27+$X$26*B28+$Y$26*B29+$Z$26*B30+$AA$26*B31+$AB$26*B32)</f>
        <v>0</v>
      </c>
      <c r="C56" s="57">
        <f t="shared" ref="C56:AB56" si="22">IF($B$26=0,0,$B$26*C6+$C$26*C7+$D$26*C8+$E$26*C9+$F$26*C10+$G$26*C11+$H$26*C12+$I$26*C13+$J$26*C14+$K$26*C15+$L$26*C16+$M$26*C17+$N$26*C18+$O$26*C19+$P$26*C20+$Q$26*C21+$R$26*C22+$S$26*C23+$T$26*C24+$U$26*C25+$V$26*C26+$W$26*C27+$X$26*C28+$Y$26*C29+$Z$26*C30+$AA$26*C31+$AB$26*C32)</f>
        <v>0</v>
      </c>
      <c r="D56" s="57">
        <f t="shared" si="22"/>
        <v>0</v>
      </c>
      <c r="E56" s="57">
        <f t="shared" si="22"/>
        <v>0</v>
      </c>
      <c r="F56" s="57">
        <f t="shared" si="22"/>
        <v>0</v>
      </c>
      <c r="G56" s="57">
        <f t="shared" si="22"/>
        <v>0</v>
      </c>
      <c r="H56" s="57">
        <f t="shared" si="22"/>
        <v>0</v>
      </c>
      <c r="I56" s="57">
        <f t="shared" si="22"/>
        <v>0</v>
      </c>
      <c r="J56" s="57">
        <f t="shared" si="22"/>
        <v>0</v>
      </c>
      <c r="K56" s="57">
        <f t="shared" si="22"/>
        <v>0</v>
      </c>
      <c r="L56" s="57">
        <f t="shared" si="22"/>
        <v>0</v>
      </c>
      <c r="M56" s="57">
        <f t="shared" si="22"/>
        <v>0</v>
      </c>
      <c r="N56" s="57">
        <f t="shared" si="22"/>
        <v>0</v>
      </c>
      <c r="O56" s="57">
        <f t="shared" si="22"/>
        <v>0</v>
      </c>
      <c r="P56" s="57">
        <f t="shared" si="22"/>
        <v>0</v>
      </c>
      <c r="Q56" s="57">
        <f t="shared" si="22"/>
        <v>0</v>
      </c>
      <c r="R56" s="57">
        <f t="shared" si="22"/>
        <v>0</v>
      </c>
      <c r="S56" s="57">
        <f t="shared" si="22"/>
        <v>0</v>
      </c>
      <c r="T56" s="57">
        <f t="shared" si="22"/>
        <v>0</v>
      </c>
      <c r="U56" s="57">
        <f t="shared" si="22"/>
        <v>0</v>
      </c>
      <c r="V56" s="57">
        <f t="shared" si="22"/>
        <v>0</v>
      </c>
      <c r="W56" s="57">
        <f t="shared" si="22"/>
        <v>0</v>
      </c>
      <c r="X56" s="57">
        <f t="shared" si="22"/>
        <v>0</v>
      </c>
      <c r="Y56" s="57">
        <f t="shared" si="22"/>
        <v>0</v>
      </c>
      <c r="Z56" s="57">
        <f t="shared" si="22"/>
        <v>0</v>
      </c>
      <c r="AA56" s="57">
        <f t="shared" si="22"/>
        <v>0</v>
      </c>
      <c r="AB56" s="57">
        <f t="shared" si="22"/>
        <v>0</v>
      </c>
      <c r="AC56" s="57">
        <f t="shared" si="3"/>
        <v>0</v>
      </c>
      <c r="AD56" s="57">
        <f t="shared" si="1"/>
        <v>0</v>
      </c>
      <c r="AE56" s="1"/>
      <c r="AF56" s="1"/>
      <c r="AG56" s="1"/>
      <c r="AH56" s="1"/>
      <c r="AI56" s="1"/>
      <c r="AJ56" s="1"/>
      <c r="AK56" s="1"/>
      <c r="AL56" s="1"/>
      <c r="AM56" s="1"/>
      <c r="AN56" s="1"/>
      <c r="AO56" s="1"/>
      <c r="AP56" s="1"/>
      <c r="AQ56" s="1"/>
      <c r="AR56" s="1"/>
      <c r="AS56" s="1"/>
      <c r="AT56" s="1"/>
      <c r="AU56" s="1"/>
      <c r="AV56" s="1"/>
      <c r="AW56" s="1"/>
      <c r="AX56" s="1"/>
      <c r="AY56" s="1"/>
    </row>
    <row r="57" spans="1:51" x14ac:dyDescent="0.25">
      <c r="A57" s="56"/>
      <c r="B57" s="57">
        <f>IF($B$27=0,0,$B$27*B6+$C$27*B7+$D$27*B8+$E$27*B9+$F$27*B10+$G$27*B11+$H$27*B12+$I$27*B13+$J$27*B14+$K$27*B15+$L$27*B16+$M$27*B17+$N$27*B18+$O$27*B19+$P$27*B20+$Q$27*B21+$R$27*B22+$S$27*B23+$T$27*B24+$U$27*B25+$V$27*B26+$W$27*B27+$X$27*B28+$Y$27*B29+$Z$27*B30+$AA$27*B31+$AB$27*B32)</f>
        <v>0</v>
      </c>
      <c r="C57" s="57">
        <f t="shared" ref="C57:AB57" si="23">IF($B$27=0,0,$B$27*C6+$C$27*C7+$D$27*C8+$E$27*C9+$F$27*C10+$G$27*C11+$H$27*C12+$I$27*C13+$J$27*C14+$K$27*C15+$L$27*C16+$M$27*C17+$N$27*C18+$O$27*C19+$P$27*C20+$Q$27*C21+$R$27*C22+$S$27*C23+$T$27*C24+$U$27*C25+$V$27*C26+$W$27*C27+$X$27*C28+$Y$27*C29+$Z$27*C30+$AA$27*C31+$AB$27*C32)</f>
        <v>0</v>
      </c>
      <c r="D57" s="57">
        <f t="shared" si="23"/>
        <v>0</v>
      </c>
      <c r="E57" s="57">
        <f t="shared" si="23"/>
        <v>0</v>
      </c>
      <c r="F57" s="57">
        <f t="shared" si="23"/>
        <v>0</v>
      </c>
      <c r="G57" s="57">
        <f t="shared" si="23"/>
        <v>0</v>
      </c>
      <c r="H57" s="57">
        <f t="shared" si="23"/>
        <v>0</v>
      </c>
      <c r="I57" s="57">
        <f t="shared" si="23"/>
        <v>0</v>
      </c>
      <c r="J57" s="57">
        <f t="shared" si="23"/>
        <v>0</v>
      </c>
      <c r="K57" s="57">
        <f t="shared" si="23"/>
        <v>0</v>
      </c>
      <c r="L57" s="57">
        <f t="shared" si="23"/>
        <v>0</v>
      </c>
      <c r="M57" s="57">
        <f t="shared" si="23"/>
        <v>0</v>
      </c>
      <c r="N57" s="57">
        <f t="shared" si="23"/>
        <v>0</v>
      </c>
      <c r="O57" s="57">
        <f t="shared" si="23"/>
        <v>0</v>
      </c>
      <c r="P57" s="57">
        <f t="shared" si="23"/>
        <v>0</v>
      </c>
      <c r="Q57" s="57">
        <f t="shared" si="23"/>
        <v>0</v>
      </c>
      <c r="R57" s="57">
        <f t="shared" si="23"/>
        <v>0</v>
      </c>
      <c r="S57" s="57">
        <f t="shared" si="23"/>
        <v>0</v>
      </c>
      <c r="T57" s="57">
        <f t="shared" si="23"/>
        <v>0</v>
      </c>
      <c r="U57" s="57">
        <f t="shared" si="23"/>
        <v>0</v>
      </c>
      <c r="V57" s="57">
        <f t="shared" si="23"/>
        <v>0</v>
      </c>
      <c r="W57" s="57">
        <f t="shared" si="23"/>
        <v>0</v>
      </c>
      <c r="X57" s="57">
        <f t="shared" si="23"/>
        <v>0</v>
      </c>
      <c r="Y57" s="57">
        <f t="shared" si="23"/>
        <v>0</v>
      </c>
      <c r="Z57" s="57">
        <f t="shared" si="23"/>
        <v>0</v>
      </c>
      <c r="AA57" s="57">
        <f t="shared" si="23"/>
        <v>0</v>
      </c>
      <c r="AB57" s="57">
        <f t="shared" si="23"/>
        <v>0</v>
      </c>
      <c r="AC57" s="57">
        <f t="shared" si="3"/>
        <v>0</v>
      </c>
      <c r="AD57" s="57">
        <f t="shared" si="1"/>
        <v>0</v>
      </c>
      <c r="AE57" s="1"/>
      <c r="AF57" s="1"/>
      <c r="AG57" s="1"/>
      <c r="AH57" s="1"/>
      <c r="AI57" s="1"/>
      <c r="AJ57" s="1"/>
      <c r="AK57" s="1"/>
      <c r="AL57" s="1"/>
      <c r="AM57" s="1"/>
      <c r="AN57" s="1"/>
      <c r="AO57" s="1"/>
      <c r="AP57" s="1"/>
      <c r="AQ57" s="1"/>
      <c r="AR57" s="1"/>
      <c r="AS57" s="1"/>
      <c r="AT57" s="1"/>
      <c r="AU57" s="1"/>
      <c r="AV57" s="1"/>
      <c r="AW57" s="1"/>
      <c r="AX57" s="1"/>
      <c r="AY57" s="1"/>
    </row>
    <row r="58" spans="1:51" x14ac:dyDescent="0.25">
      <c r="A58" s="56"/>
      <c r="B58" s="57">
        <f>IF($B$28=0,0,$B$28*B6+$C$28*B7+$D$28*B8+$E$28*B9+$F$28*B10+$G$28*B11+$H$28*B12+$I$28*B13+$J$28*B14+$K$28*B15+$L$28*B16+$M$28*B17+$N$28*B18+$O$28*B19+$P$28*B20+$Q$28*B21+$R$28*B22+$S$28*B23+$T$28*B24+$U$28*B25+$V$28*B26+$W$28*B27+$X$28*B28+$Y$28*B29+$Z$28*B30+$AA$28*B31+$AB$28*B32)</f>
        <v>0</v>
      </c>
      <c r="C58" s="57">
        <f t="shared" ref="C58:AB58" si="24">IF($B$28=0,0,$B$28*C6+$C$28*C7+$D$28*C8+$E$28*C9+$F$28*C10+$G$28*C11+$H$28*C12+$I$28*C13+$J$28*C14+$K$28*C15+$L$28*C16+$M$28*C17+$N$28*C18+$O$28*C19+$P$28*C20+$Q$28*C21+$R$28*C22+$S$28*C23+$T$28*C24+$U$28*C25+$V$28*C26+$W$28*C27+$X$28*C28+$Y$28*C29+$Z$28*C30+$AA$28*C31+$AB$28*C32)</f>
        <v>0</v>
      </c>
      <c r="D58" s="57">
        <f t="shared" si="24"/>
        <v>0</v>
      </c>
      <c r="E58" s="57">
        <f t="shared" si="24"/>
        <v>0</v>
      </c>
      <c r="F58" s="57">
        <f t="shared" si="24"/>
        <v>0</v>
      </c>
      <c r="G58" s="57">
        <f t="shared" si="24"/>
        <v>0</v>
      </c>
      <c r="H58" s="57">
        <f t="shared" si="24"/>
        <v>0</v>
      </c>
      <c r="I58" s="57">
        <f t="shared" si="24"/>
        <v>0</v>
      </c>
      <c r="J58" s="57">
        <f t="shared" si="24"/>
        <v>0</v>
      </c>
      <c r="K58" s="57">
        <f t="shared" si="24"/>
        <v>0</v>
      </c>
      <c r="L58" s="57">
        <f t="shared" si="24"/>
        <v>0</v>
      </c>
      <c r="M58" s="57">
        <f t="shared" si="24"/>
        <v>0</v>
      </c>
      <c r="N58" s="57">
        <f t="shared" si="24"/>
        <v>0</v>
      </c>
      <c r="O58" s="57">
        <f t="shared" si="24"/>
        <v>0</v>
      </c>
      <c r="P58" s="57">
        <f t="shared" si="24"/>
        <v>0</v>
      </c>
      <c r="Q58" s="57">
        <f t="shared" si="24"/>
        <v>0</v>
      </c>
      <c r="R58" s="57">
        <f t="shared" si="24"/>
        <v>0</v>
      </c>
      <c r="S58" s="57">
        <f>IF($B$28=0,0,$B$28*S6+$C$28*S7+$D$28*S8+$E$28*S9+$F$28*S10+$G$28*S11+$H$28*S12+$I$28*S13+$J$28*S14+$K$28*S15+$L$28*S16+$M$28*S17+$N$28*S18+$O$28*S19+$P$28*S20+$Q$28*S21+$R$28*S22+$S$28*S23+$T$28*S24+$U$28*S25+$V$28*S26+$W$28*S27+$X$28*S28+$Y$28*S29+$Z$28*S30+$AA$28*S31+$AB$28*S32)</f>
        <v>0</v>
      </c>
      <c r="T58" s="57">
        <f t="shared" si="24"/>
        <v>0</v>
      </c>
      <c r="U58" s="57">
        <f t="shared" si="24"/>
        <v>0</v>
      </c>
      <c r="V58" s="57">
        <f t="shared" si="24"/>
        <v>0</v>
      </c>
      <c r="W58" s="57">
        <f t="shared" si="24"/>
        <v>0</v>
      </c>
      <c r="X58" s="57">
        <f t="shared" si="24"/>
        <v>0</v>
      </c>
      <c r="Y58" s="57">
        <f t="shared" si="24"/>
        <v>0</v>
      </c>
      <c r="Z58" s="57">
        <f t="shared" si="24"/>
        <v>0</v>
      </c>
      <c r="AA58" s="57">
        <f t="shared" si="24"/>
        <v>0</v>
      </c>
      <c r="AB58" s="57">
        <f t="shared" si="24"/>
        <v>0</v>
      </c>
      <c r="AC58" s="57">
        <f t="shared" si="3"/>
        <v>0</v>
      </c>
      <c r="AD58" s="57">
        <f t="shared" si="1"/>
        <v>0</v>
      </c>
      <c r="AE58" s="1"/>
      <c r="AF58" s="1"/>
      <c r="AG58" s="1"/>
      <c r="AH58" s="1"/>
      <c r="AI58" s="1"/>
      <c r="AJ58" s="1"/>
      <c r="AK58" s="1"/>
      <c r="AL58" s="1"/>
      <c r="AM58" s="1"/>
      <c r="AN58" s="1"/>
      <c r="AO58" s="1"/>
      <c r="AP58" s="1"/>
      <c r="AQ58" s="1"/>
      <c r="AR58" s="1"/>
      <c r="AS58" s="1"/>
      <c r="AT58" s="1"/>
      <c r="AU58" s="1"/>
      <c r="AV58" s="1"/>
      <c r="AW58" s="1"/>
      <c r="AX58" s="1"/>
      <c r="AY58" s="1"/>
    </row>
    <row r="59" spans="1:51" x14ac:dyDescent="0.25">
      <c r="A59" s="56"/>
      <c r="B59" s="57">
        <f>IF($B$29=0,0,$B$29*B6+$C$29*B7+$D$29*B8+$E$29*B9+$F$29*B10+$G$29*B11+$H$29*B12+$I$29*B13+$J$29*B14+$K$29*B15+$L$29*B16+$M$29*B17+$N$29*B18+$O$29*B19+$P$29*B20+$Q$29*B21+$R$29*B22+$S$29*B23+$T$29*B24+$U$29*B25+$V$29*B26+$W$29*B27+$X$29*B28+$Y$29*B29+$Z$29*B30+$AA$29*B31+$AB$29*B32)</f>
        <v>0</v>
      </c>
      <c r="C59" s="57">
        <f t="shared" ref="C59:AB59" si="25">IF($B$29=0,0,$B$29*C6+$C$29*C7+$D$29*C8+$E$29*C9+$F$29*C10+$G$29*C11+$H$29*C12+$I$29*C13+$J$29*C14+$K$29*C15+$L$29*C16+$M$29*C17+$N$29*C18+$O$29*C19+$P$29*C20+$Q$29*C21+$R$29*C22+$S$29*C23+$T$29*C24+$U$29*C25+$V$29*C26+$W$29*C27+$X$29*C28+$Y$29*C29+$Z$29*C30+$AA$29*C31+$AB$29*C32)</f>
        <v>0</v>
      </c>
      <c r="D59" s="57">
        <f t="shared" si="25"/>
        <v>0</v>
      </c>
      <c r="E59" s="57">
        <f t="shared" si="25"/>
        <v>0</v>
      </c>
      <c r="F59" s="57">
        <f t="shared" si="25"/>
        <v>0</v>
      </c>
      <c r="G59" s="57">
        <f t="shared" si="25"/>
        <v>0</v>
      </c>
      <c r="H59" s="57">
        <f t="shared" si="25"/>
        <v>0</v>
      </c>
      <c r="I59" s="57">
        <f t="shared" si="25"/>
        <v>0</v>
      </c>
      <c r="J59" s="57">
        <f t="shared" si="25"/>
        <v>0</v>
      </c>
      <c r="K59" s="57">
        <f t="shared" si="25"/>
        <v>0</v>
      </c>
      <c r="L59" s="57">
        <f t="shared" si="25"/>
        <v>0</v>
      </c>
      <c r="M59" s="57">
        <f t="shared" si="25"/>
        <v>0</v>
      </c>
      <c r="N59" s="57">
        <f t="shared" si="25"/>
        <v>0</v>
      </c>
      <c r="O59" s="57">
        <f t="shared" si="25"/>
        <v>0</v>
      </c>
      <c r="P59" s="57">
        <f t="shared" si="25"/>
        <v>0</v>
      </c>
      <c r="Q59" s="57">
        <f t="shared" si="25"/>
        <v>0</v>
      </c>
      <c r="R59" s="57">
        <f t="shared" si="25"/>
        <v>0</v>
      </c>
      <c r="S59" s="57">
        <f t="shared" si="25"/>
        <v>0</v>
      </c>
      <c r="T59" s="57">
        <f t="shared" si="25"/>
        <v>0</v>
      </c>
      <c r="U59" s="57">
        <f t="shared" si="25"/>
        <v>0</v>
      </c>
      <c r="V59" s="57">
        <f t="shared" si="25"/>
        <v>0</v>
      </c>
      <c r="W59" s="57">
        <f t="shared" si="25"/>
        <v>0</v>
      </c>
      <c r="X59" s="57">
        <f t="shared" si="25"/>
        <v>0</v>
      </c>
      <c r="Y59" s="57">
        <f t="shared" si="25"/>
        <v>0</v>
      </c>
      <c r="Z59" s="57">
        <f t="shared" si="25"/>
        <v>0</v>
      </c>
      <c r="AA59" s="57">
        <f t="shared" si="25"/>
        <v>0</v>
      </c>
      <c r="AB59" s="57">
        <f t="shared" si="25"/>
        <v>0</v>
      </c>
      <c r="AC59" s="57">
        <f t="shared" si="3"/>
        <v>0</v>
      </c>
      <c r="AD59" s="57">
        <f t="shared" si="1"/>
        <v>0</v>
      </c>
      <c r="AE59" s="1"/>
      <c r="AF59" s="1"/>
      <c r="AG59" s="1"/>
      <c r="AH59" s="1"/>
      <c r="AI59" s="1"/>
      <c r="AJ59" s="1"/>
      <c r="AK59" s="1"/>
      <c r="AL59" s="1"/>
      <c r="AM59" s="1"/>
      <c r="AN59" s="1"/>
      <c r="AO59" s="1"/>
      <c r="AP59" s="1"/>
      <c r="AQ59" s="1"/>
      <c r="AR59" s="1"/>
      <c r="AS59" s="1"/>
      <c r="AT59" s="1"/>
      <c r="AU59" s="1"/>
      <c r="AV59" s="1"/>
      <c r="AW59" s="1"/>
      <c r="AX59" s="1"/>
      <c r="AY59" s="1"/>
    </row>
    <row r="60" spans="1:51" x14ac:dyDescent="0.25">
      <c r="A60" s="56"/>
      <c r="B60" s="57">
        <f>IF($B$30=0,0,$B$30*B6+$C$30*B7+$D$30*B8+$E$30*B9+$F$30*B10+$G$30*B11+$H$30*B12+$I$30*B13+$J$30*B14+$K$30*B15+$L$30*B16+$M$30*B17+$N$30*B18+$O$30*B19+$P$30*B20+$Q$30*B21+$R$30*B22+$S$30*B23+$T$30*B24+$U$30*B25+$V$30*B26+$W$30*B27+$X$30*B28+$Y$30*B29+$Z$30*B30+$AA$30*B31+$AB$30*B32)</f>
        <v>0</v>
      </c>
      <c r="C60" s="57">
        <f t="shared" ref="C60:AB60" si="26">IF($B$30=0,0,$B$30*C6+$C$30*C7+$D$30*C8+$E$30*C9+$F$30*C10+$G$30*C11+$H$30*C12+$I$30*C13+$J$30*C14+$K$30*C15+$L$30*C16+$M$30*C17+$N$30*C18+$O$30*C19+$P$30*C20+$Q$30*C21+$R$30*C22+$S$30*C23+$T$30*C24+$U$30*C25+$V$30*C26+$W$30*C27+$X$30*C28+$Y$30*C29+$Z$30*C30+$AA$30*C31+$AB$30*C32)</f>
        <v>0</v>
      </c>
      <c r="D60" s="57">
        <f t="shared" si="26"/>
        <v>0</v>
      </c>
      <c r="E60" s="57">
        <f t="shared" si="26"/>
        <v>0</v>
      </c>
      <c r="F60" s="57">
        <f t="shared" si="26"/>
        <v>0</v>
      </c>
      <c r="G60" s="57">
        <f t="shared" si="26"/>
        <v>0</v>
      </c>
      <c r="H60" s="57">
        <f t="shared" si="26"/>
        <v>0</v>
      </c>
      <c r="I60" s="57">
        <f t="shared" si="26"/>
        <v>0</v>
      </c>
      <c r="J60" s="57">
        <f t="shared" si="26"/>
        <v>0</v>
      </c>
      <c r="K60" s="57">
        <f t="shared" si="26"/>
        <v>0</v>
      </c>
      <c r="L60" s="57">
        <f t="shared" si="26"/>
        <v>0</v>
      </c>
      <c r="M60" s="57">
        <f t="shared" si="26"/>
        <v>0</v>
      </c>
      <c r="N60" s="57">
        <f t="shared" si="26"/>
        <v>0</v>
      </c>
      <c r="O60" s="57">
        <f t="shared" si="26"/>
        <v>0</v>
      </c>
      <c r="P60" s="57">
        <f t="shared" si="26"/>
        <v>0</v>
      </c>
      <c r="Q60" s="57">
        <f t="shared" si="26"/>
        <v>0</v>
      </c>
      <c r="R60" s="57">
        <f t="shared" si="26"/>
        <v>0</v>
      </c>
      <c r="S60" s="57">
        <f t="shared" si="26"/>
        <v>0</v>
      </c>
      <c r="T60" s="57">
        <f t="shared" si="26"/>
        <v>0</v>
      </c>
      <c r="U60" s="57">
        <f t="shared" si="26"/>
        <v>0</v>
      </c>
      <c r="V60" s="57">
        <f t="shared" si="26"/>
        <v>0</v>
      </c>
      <c r="W60" s="57">
        <f t="shared" si="26"/>
        <v>0</v>
      </c>
      <c r="X60" s="57">
        <f t="shared" si="26"/>
        <v>0</v>
      </c>
      <c r="Y60" s="57">
        <f t="shared" si="26"/>
        <v>0</v>
      </c>
      <c r="Z60" s="57">
        <f t="shared" si="26"/>
        <v>0</v>
      </c>
      <c r="AA60" s="57">
        <f t="shared" si="26"/>
        <v>0</v>
      </c>
      <c r="AB60" s="57">
        <f t="shared" si="26"/>
        <v>0</v>
      </c>
      <c r="AC60" s="57">
        <f t="shared" si="3"/>
        <v>0</v>
      </c>
      <c r="AD60" s="57">
        <f t="shared" si="1"/>
        <v>0</v>
      </c>
      <c r="AE60" s="1"/>
      <c r="AF60" s="1"/>
      <c r="AG60" s="1"/>
      <c r="AH60" s="1"/>
      <c r="AI60" s="1"/>
      <c r="AJ60" s="1"/>
      <c r="AK60" s="1"/>
      <c r="AL60" s="1"/>
      <c r="AM60" s="1"/>
      <c r="AN60" s="1"/>
      <c r="AO60" s="1"/>
      <c r="AP60" s="1"/>
      <c r="AQ60" s="1"/>
      <c r="AR60" s="1"/>
      <c r="AS60" s="1"/>
      <c r="AT60" s="1"/>
      <c r="AU60" s="1"/>
      <c r="AV60" s="1"/>
      <c r="AW60" s="1"/>
      <c r="AX60" s="1"/>
      <c r="AY60" s="1"/>
    </row>
    <row r="61" spans="1:51" x14ac:dyDescent="0.25">
      <c r="A61" s="56"/>
      <c r="B61" s="57">
        <f>IF($B$31=0,0,$B$31*B6+$C$31*B7+$D$31*B8+$E$31*B9+$F$31*B10+$G$31*B11+$H$31*B12+$I$31*B13+$J$31*B14+$K$31*B15+$L$31*B16+$M$31*B17+$N$31*B18+$O$31*B19+$P$31*B20+$Q$31*B21+$R$31*B22+$S$31*B23+$T$31*B24+$U$31*B25+$V$31*B26+$W$31*B27+$X$31*B28+$Y$31*B29+$Z$31*B30+$AA$31*B31+$AB$31*B32)</f>
        <v>0</v>
      </c>
      <c r="C61" s="57">
        <f t="shared" ref="C61:AB61" si="27">IF($B$31=0,0,$B$31*C6+$C$31*C7+$D$31*C8+$E$31*C9+$F$31*C10+$G$31*C11+$H$31*C12+$I$31*C13+$J$31*C14+$K$31*C15+$L$31*C16+$M$31*C17+$N$31*C18+$O$31*C19+$P$31*C20+$Q$31*C21+$R$31*C22+$S$31*C23+$T$31*C24+$U$31*C25+$V$31*C26+$W$31*C27+$X$31*C28+$Y$31*C29+$Z$31*C30+$AA$31*C31+$AB$31*C32)</f>
        <v>0</v>
      </c>
      <c r="D61" s="57">
        <f t="shared" si="27"/>
        <v>0</v>
      </c>
      <c r="E61" s="57">
        <f t="shared" si="27"/>
        <v>0</v>
      </c>
      <c r="F61" s="57">
        <f t="shared" si="27"/>
        <v>0</v>
      </c>
      <c r="G61" s="57">
        <f t="shared" si="27"/>
        <v>0</v>
      </c>
      <c r="H61" s="57">
        <f t="shared" si="27"/>
        <v>0</v>
      </c>
      <c r="I61" s="57">
        <f t="shared" si="27"/>
        <v>0</v>
      </c>
      <c r="J61" s="57">
        <f t="shared" si="27"/>
        <v>0</v>
      </c>
      <c r="K61" s="57">
        <f t="shared" si="27"/>
        <v>0</v>
      </c>
      <c r="L61" s="57">
        <f t="shared" si="27"/>
        <v>0</v>
      </c>
      <c r="M61" s="57">
        <f t="shared" si="27"/>
        <v>0</v>
      </c>
      <c r="N61" s="57">
        <f t="shared" si="27"/>
        <v>0</v>
      </c>
      <c r="O61" s="57">
        <f t="shared" si="27"/>
        <v>0</v>
      </c>
      <c r="P61" s="57">
        <f t="shared" si="27"/>
        <v>0</v>
      </c>
      <c r="Q61" s="57">
        <f t="shared" si="27"/>
        <v>0</v>
      </c>
      <c r="R61" s="57">
        <f t="shared" si="27"/>
        <v>0</v>
      </c>
      <c r="S61" s="57">
        <f t="shared" si="27"/>
        <v>0</v>
      </c>
      <c r="T61" s="57">
        <f t="shared" si="27"/>
        <v>0</v>
      </c>
      <c r="U61" s="57">
        <f t="shared" si="27"/>
        <v>0</v>
      </c>
      <c r="V61" s="57">
        <f t="shared" si="27"/>
        <v>0</v>
      </c>
      <c r="W61" s="57">
        <f t="shared" si="27"/>
        <v>0</v>
      </c>
      <c r="X61" s="57">
        <f t="shared" si="27"/>
        <v>0</v>
      </c>
      <c r="Y61" s="57">
        <f t="shared" si="27"/>
        <v>0</v>
      </c>
      <c r="Z61" s="57">
        <f t="shared" si="27"/>
        <v>0</v>
      </c>
      <c r="AA61" s="57">
        <f t="shared" si="27"/>
        <v>0</v>
      </c>
      <c r="AB61" s="57">
        <f t="shared" si="27"/>
        <v>0</v>
      </c>
      <c r="AC61" s="57">
        <f t="shared" si="3"/>
        <v>0</v>
      </c>
      <c r="AD61" s="57">
        <f t="shared" si="1"/>
        <v>0</v>
      </c>
      <c r="AE61" s="1"/>
      <c r="AF61" s="1"/>
      <c r="AG61" s="1"/>
      <c r="AH61" s="1"/>
      <c r="AI61" s="1"/>
      <c r="AJ61" s="1"/>
      <c r="AK61" s="1"/>
      <c r="AL61" s="1"/>
      <c r="AM61" s="1"/>
      <c r="AN61" s="1"/>
      <c r="AO61" s="1"/>
      <c r="AP61" s="1"/>
      <c r="AQ61" s="1"/>
      <c r="AR61" s="1"/>
      <c r="AS61" s="1"/>
      <c r="AT61" s="1"/>
      <c r="AU61" s="1"/>
      <c r="AV61" s="1"/>
      <c r="AW61" s="1"/>
      <c r="AX61" s="1"/>
      <c r="AY61" s="1"/>
    </row>
    <row r="62" spans="1:51" x14ac:dyDescent="0.25">
      <c r="A62" s="56"/>
      <c r="B62" s="57">
        <f>IF($B$32=0,0,$B$32*B6+$C$32*B7+$D$32*B8+$E$32*B9+$F$32*B10+$G$32*B11+$H$32*B12+$I$32*B13+$J$32*B14+$K$32*B15+$L$32*B16+$M$32*B17+$N$32*B18+$O$32*B19+$P$32*B20+$Q$32*B21+$R$32*B22+$S$32*B23+$T$32*B24+$U$32*B25+$V$32*B26+$W$32*B27+$X$32*B28+$Y$32*B29+$Z$32*B30+$AA$32*B31+$AB$32*B32)</f>
        <v>0</v>
      </c>
      <c r="C62" s="57">
        <f>IF($B$32=0,0,$B$32*C6+$C$32*C7+$D$32*C8+$E$32*C9+$F$32*C10+$G$32*C11+$H$32*C12+$I$32*C13+$J$32*C14+$K$32*C15+$L$32*C16+$M$32*C17+$N$32*C18+$O$32*C19+$P$32*C20+$Q$32*C21+$R$32*C22+$S$32*C23+$T$32*C24+$U$32*C25+$V$32*C26+$W$32*C27+$X$32*C28+$Y$32*C29+$Z$32*C30+$AA$32*C31+$AB$32*C32)</f>
        <v>0</v>
      </c>
      <c r="D62" s="57">
        <f t="shared" ref="D62:AB62" si="28">IF($B$32=0,0,$B$32*D6+$C$32*D7+$D$32*D8+$E$32*D9+$F$32*D10+$G$32*D11+$H$32*D12+$I$32*D13+$J$32*D14+$K$32*D15+$L$32*D16+$M$32*D17+$N$32*D18+$O$32*D19+$P$32*D20+$Q$32*D21+$R$32*D22+$S$32*D23+$T$32*D24+$U$32*D25+$V$32*D26+$W$32*D27+$X$32*D28+$Y$32*D29+$Z$32*D30+$AA$32*D31+$AB$32*D32)</f>
        <v>0</v>
      </c>
      <c r="E62" s="57">
        <f t="shared" si="28"/>
        <v>0</v>
      </c>
      <c r="F62" s="57">
        <f t="shared" si="28"/>
        <v>0</v>
      </c>
      <c r="G62" s="57">
        <f t="shared" si="28"/>
        <v>0</v>
      </c>
      <c r="H62" s="57">
        <f t="shared" si="28"/>
        <v>0</v>
      </c>
      <c r="I62" s="57">
        <f t="shared" si="28"/>
        <v>0</v>
      </c>
      <c r="J62" s="57">
        <f t="shared" si="28"/>
        <v>0</v>
      </c>
      <c r="K62" s="57">
        <f t="shared" si="28"/>
        <v>0</v>
      </c>
      <c r="L62" s="57">
        <f t="shared" si="28"/>
        <v>0</v>
      </c>
      <c r="M62" s="57">
        <f t="shared" si="28"/>
        <v>0</v>
      </c>
      <c r="N62" s="57">
        <f t="shared" si="28"/>
        <v>0</v>
      </c>
      <c r="O62" s="57">
        <f t="shared" si="28"/>
        <v>0</v>
      </c>
      <c r="P62" s="57">
        <f t="shared" si="28"/>
        <v>0</v>
      </c>
      <c r="Q62" s="57">
        <f t="shared" si="28"/>
        <v>0</v>
      </c>
      <c r="R62" s="57">
        <f t="shared" si="28"/>
        <v>0</v>
      </c>
      <c r="S62" s="57">
        <f t="shared" si="28"/>
        <v>0</v>
      </c>
      <c r="T62" s="57">
        <f t="shared" si="28"/>
        <v>0</v>
      </c>
      <c r="U62" s="57">
        <f t="shared" si="28"/>
        <v>0</v>
      </c>
      <c r="V62" s="57">
        <f t="shared" si="28"/>
        <v>0</v>
      </c>
      <c r="W62" s="57">
        <f t="shared" si="28"/>
        <v>0</v>
      </c>
      <c r="X62" s="57">
        <f t="shared" si="28"/>
        <v>0</v>
      </c>
      <c r="Y62" s="57">
        <f t="shared" si="28"/>
        <v>0</v>
      </c>
      <c r="Z62" s="57">
        <f t="shared" si="28"/>
        <v>0</v>
      </c>
      <c r="AA62" s="57">
        <f t="shared" si="28"/>
        <v>0</v>
      </c>
      <c r="AB62" s="57">
        <f t="shared" si="28"/>
        <v>0</v>
      </c>
      <c r="AC62" s="57">
        <f t="shared" si="3"/>
        <v>0</v>
      </c>
      <c r="AD62" s="57">
        <f t="shared" si="1"/>
        <v>0</v>
      </c>
      <c r="AE62" s="1"/>
      <c r="AF62" s="1"/>
      <c r="AG62" s="1"/>
      <c r="AH62" s="1"/>
      <c r="AI62" s="1"/>
      <c r="AJ62" s="1"/>
      <c r="AK62" s="1"/>
      <c r="AL62" s="1"/>
      <c r="AM62" s="1"/>
      <c r="AN62" s="1"/>
      <c r="AO62" s="1"/>
      <c r="AP62" s="1"/>
      <c r="AQ62" s="1"/>
      <c r="AR62" s="1"/>
      <c r="AS62" s="1"/>
      <c r="AT62" s="1"/>
      <c r="AU62" s="1"/>
      <c r="AV62" s="1"/>
      <c r="AW62" s="1"/>
      <c r="AX62" s="1"/>
      <c r="AY62" s="1"/>
    </row>
    <row r="63" spans="1:51" ht="21" x14ac:dyDescent="0.4">
      <c r="A63" s="44"/>
      <c r="B63" s="1"/>
      <c r="C63" s="1"/>
      <c r="D63" s="1"/>
      <c r="E63" s="1"/>
      <c r="F63" s="1"/>
      <c r="G63" s="1"/>
      <c r="H63" s="58"/>
      <c r="I63" s="58"/>
      <c r="J63" s="58"/>
      <c r="K63" s="58"/>
      <c r="L63" s="58"/>
      <c r="M63" s="58"/>
      <c r="N63" s="59"/>
      <c r="O63" s="59"/>
      <c r="P63" s="1"/>
      <c r="Q63" s="1"/>
      <c r="R63" s="1"/>
      <c r="S63" s="1"/>
      <c r="T63" s="1"/>
      <c r="U63" s="1"/>
      <c r="V63" s="1"/>
      <c r="W63" s="1"/>
      <c r="X63" s="1"/>
      <c r="Y63" s="1"/>
      <c r="Z63" s="1"/>
      <c r="AA63" s="1"/>
      <c r="AB63" s="39" t="s">
        <v>71</v>
      </c>
      <c r="AC63" s="51">
        <f>SUM(AC36:AC62)</f>
        <v>1</v>
      </c>
      <c r="AD63" s="51">
        <f>SUM(AD36:AD62)</f>
        <v>1</v>
      </c>
      <c r="AE63" s="1"/>
      <c r="AF63" s="1"/>
      <c r="AG63" s="1"/>
      <c r="AH63" s="1"/>
      <c r="AI63" s="1"/>
      <c r="AJ63" s="1"/>
      <c r="AK63" s="1"/>
      <c r="AL63" s="1"/>
      <c r="AM63" s="1"/>
      <c r="AN63" s="1"/>
      <c r="AO63" s="1"/>
      <c r="AP63" s="1"/>
      <c r="AQ63" s="1"/>
      <c r="AR63" s="1"/>
      <c r="AS63" s="1"/>
      <c r="AT63" s="1"/>
      <c r="AU63" s="1"/>
      <c r="AV63" s="1"/>
      <c r="AW63" s="1"/>
      <c r="AX63" s="1"/>
      <c r="AY63" s="1"/>
    </row>
    <row r="64" spans="1:51" x14ac:dyDescent="0.25">
      <c r="A64" s="44"/>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spans="1:51" x14ac:dyDescent="0.25">
      <c r="A65" s="44"/>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spans="1:51" x14ac:dyDescent="0.25">
      <c r="A66" s="44"/>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spans="1:51" x14ac:dyDescent="0.25">
      <c r="A67" s="44"/>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spans="1:51" x14ac:dyDescent="0.25">
      <c r="A68" s="44"/>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spans="1:51" x14ac:dyDescent="0.25">
      <c r="A69" s="44"/>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spans="1:51" x14ac:dyDescent="0.25">
      <c r="A70" s="44"/>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spans="1:51" x14ac:dyDescent="0.25">
      <c r="A71" s="44"/>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spans="1:51" x14ac:dyDescent="0.25">
      <c r="A72" s="44"/>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spans="1:51" x14ac:dyDescent="0.25">
      <c r="A73" s="44"/>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spans="1:51" x14ac:dyDescent="0.25">
      <c r="A74" s="44"/>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spans="1:51" x14ac:dyDescent="0.25">
      <c r="A75" s="44"/>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spans="1:51" x14ac:dyDescent="0.25">
      <c r="A76" s="44"/>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spans="1:51" x14ac:dyDescent="0.25">
      <c r="A77" s="44"/>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spans="1:51" x14ac:dyDescent="0.25">
      <c r="A78" s="44"/>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spans="1:51" x14ac:dyDescent="0.25">
      <c r="A79" s="44"/>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spans="1:51" x14ac:dyDescent="0.25">
      <c r="A80" s="44"/>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spans="1:51" x14ac:dyDescent="0.25">
      <c r="A81" s="44"/>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spans="1:51" x14ac:dyDescent="0.25">
      <c r="A82" s="44"/>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spans="1:51" x14ac:dyDescent="0.25">
      <c r="A83" s="44"/>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spans="1:51" x14ac:dyDescent="0.25">
      <c r="A84" s="44"/>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spans="1:51" x14ac:dyDescent="0.25">
      <c r="A85" s="44"/>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spans="1:51" x14ac:dyDescent="0.25">
      <c r="A86" s="44"/>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spans="1:51" x14ac:dyDescent="0.25">
      <c r="A87" s="44"/>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spans="1:51" x14ac:dyDescent="0.25">
      <c r="A88" s="44"/>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spans="1:51" x14ac:dyDescent="0.25">
      <c r="A89" s="44"/>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spans="1:51" x14ac:dyDescent="0.25">
      <c r="A90" s="44"/>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spans="1:51" x14ac:dyDescent="0.25">
      <c r="A91" s="44"/>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spans="1:51" x14ac:dyDescent="0.25">
      <c r="A92" s="44"/>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spans="1:51" x14ac:dyDescent="0.25">
      <c r="A93" s="44"/>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spans="1:51" x14ac:dyDescent="0.25">
      <c r="A94" s="44"/>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spans="1:51" x14ac:dyDescent="0.25">
      <c r="A95" s="44"/>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spans="1:51" x14ac:dyDescent="0.25">
      <c r="A96" s="44"/>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spans="1:51" x14ac:dyDescent="0.25">
      <c r="A97" s="44"/>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spans="1:51" x14ac:dyDescent="0.25">
      <c r="A98" s="44"/>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spans="1:51" x14ac:dyDescent="0.25">
      <c r="A99" s="44"/>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spans="1:51" x14ac:dyDescent="0.25">
      <c r="A100" s="44"/>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spans="1:51" x14ac:dyDescent="0.25">
      <c r="A101" s="44"/>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spans="1:51" x14ac:dyDescent="0.25">
      <c r="A102" s="44"/>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spans="1:51" x14ac:dyDescent="0.25">
      <c r="A103" s="44"/>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spans="1:51" x14ac:dyDescent="0.25">
      <c r="A104" s="4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spans="1:51" x14ac:dyDescent="0.25">
      <c r="A105" s="44"/>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spans="1:51" x14ac:dyDescent="0.25">
      <c r="A106" s="44"/>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spans="1:51" x14ac:dyDescent="0.25">
      <c r="A107" s="44"/>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51" x14ac:dyDescent="0.25">
      <c r="A108" s="44"/>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51" x14ac:dyDescent="0.25">
      <c r="A109" s="44"/>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51" x14ac:dyDescent="0.25">
      <c r="A110" s="44"/>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51" x14ac:dyDescent="0.25">
      <c r="A111" s="44"/>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51" x14ac:dyDescent="0.25">
      <c r="A112" s="44"/>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27" x14ac:dyDescent="0.25">
      <c r="A113" s="44"/>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4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sheetData>
  <sheetProtection algorithmName="SHA-512" hashValue="9xLEjK70Q9Pe35Co+R9Ozf4xu5RNk5Lul70NEudWpQ+oEpfNdV/u4H0Tch4J4GBOgJYhBP5na72Sb0/9IDn+VA==" saltValue="eKl0LwC065n67UjJtTQyjg==" spinCount="100000" sheet="1" objects="1" scenarios="1"/>
  <mergeCells count="5">
    <mergeCell ref="H34:J34"/>
    <mergeCell ref="A1:L1"/>
    <mergeCell ref="M1:S1"/>
    <mergeCell ref="A2:S2"/>
    <mergeCell ref="G4:M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6649-655D-481B-BBB9-D198965650DF}">
  <dimension ref="A1:AB79"/>
  <sheetViews>
    <sheetView zoomScale="90" zoomScaleNormal="90" workbookViewId="0">
      <selection activeCell="E7" sqref="E7"/>
    </sheetView>
  </sheetViews>
  <sheetFormatPr defaultRowHeight="13.8" x14ac:dyDescent="0.25"/>
  <cols>
    <col min="1" max="1" width="21.69921875" customWidth="1"/>
    <col min="2" max="2" width="11" customWidth="1"/>
    <col min="10" max="10" width="12.09765625" customWidth="1"/>
    <col min="12" max="28" width="8.796875" style="1"/>
  </cols>
  <sheetData>
    <row r="1" spans="1:12" x14ac:dyDescent="0.25">
      <c r="A1" s="1"/>
      <c r="B1" s="32"/>
      <c r="C1" s="84" t="s">
        <v>94</v>
      </c>
      <c r="D1" s="84"/>
      <c r="E1" s="84"/>
      <c r="F1" s="84"/>
      <c r="G1" s="84"/>
      <c r="H1" s="84"/>
      <c r="I1" s="84"/>
      <c r="J1" s="84"/>
    </row>
    <row r="2" spans="1:12" ht="16.2" x14ac:dyDescent="0.35">
      <c r="A2" s="1"/>
      <c r="B2" s="60" t="s">
        <v>73</v>
      </c>
      <c r="C2" s="60" t="s">
        <v>74</v>
      </c>
      <c r="D2" s="60" t="s">
        <v>75</v>
      </c>
      <c r="E2" s="60" t="s">
        <v>76</v>
      </c>
      <c r="F2" s="60" t="s">
        <v>77</v>
      </c>
      <c r="G2" s="60" t="s">
        <v>78</v>
      </c>
      <c r="H2" s="60" t="s">
        <v>79</v>
      </c>
      <c r="I2" s="60" t="s">
        <v>80</v>
      </c>
      <c r="J2" s="61" t="s">
        <v>81</v>
      </c>
      <c r="K2" s="62" t="s">
        <v>82</v>
      </c>
      <c r="L2" s="62" t="s">
        <v>108</v>
      </c>
    </row>
    <row r="3" spans="1:12" x14ac:dyDescent="0.25">
      <c r="A3" s="49" t="e" cm="1" vm="2">
        <f t="array" ref="A3">_xlfn._xlws.FILTER('AHP(Structure the hierarchy)'!B5:B35, 'AHP(Structure the hierarchy)'!B5:B35&lt;&gt;"")</f>
        <v>#VALUE!</v>
      </c>
      <c r="B3" s="11">
        <f>IF(C3=0,0,'Compare and weight the criteria'!$O$13)</f>
        <v>0.25</v>
      </c>
      <c r="C3" s="11">
        <f>'User Profiles'!AD36</f>
        <v>1</v>
      </c>
      <c r="D3" s="11">
        <f>IF(E3=0,0,'Compare and weight the criteria'!$O$14)</f>
        <v>0.25</v>
      </c>
      <c r="E3" s="11">
        <f>'App domain specificity'!AD36</f>
        <v>1</v>
      </c>
      <c r="F3" s="11">
        <f>IF(G3=0,0,'Compare and weight the criteria'!$O$15)</f>
        <v>0.25</v>
      </c>
      <c r="G3" s="11">
        <f>'Task Complexity'!AD36</f>
        <v>1</v>
      </c>
      <c r="H3" s="11">
        <f>IF(I3=0,0,'Compare and weight the criteria'!$O$16)</f>
        <v>0.25</v>
      </c>
      <c r="I3" s="11">
        <f>Feasibility!AD36</f>
        <v>1</v>
      </c>
      <c r="J3" s="11">
        <f>B3*C3+D3*E3+F3*G3+H3*I3</f>
        <v>1</v>
      </c>
      <c r="K3" s="11">
        <f>_xlfn.RANK.EQ(J3, $J$3:$J$29, 0)</f>
        <v>1</v>
      </c>
      <c r="L3" s="11">
        <f>J3/SUM(J3:J29)</f>
        <v>1</v>
      </c>
    </row>
    <row r="4" spans="1:12" x14ac:dyDescent="0.25">
      <c r="A4" s="48"/>
      <c r="B4" s="11">
        <f>IF(C4=0,0,'Compare and weight the criteria'!$O$13)</f>
        <v>0</v>
      </c>
      <c r="C4" s="11">
        <f>'User Profiles'!AD37</f>
        <v>0</v>
      </c>
      <c r="D4" s="11">
        <f>IF(E4=0,0,'Compare and weight the criteria'!$O$14)</f>
        <v>0</v>
      </c>
      <c r="E4" s="11">
        <f>'App domain specificity'!AD37</f>
        <v>0</v>
      </c>
      <c r="F4" s="11">
        <f>IF(G4=0,0,'Compare and weight the criteria'!$O$15)</f>
        <v>0</v>
      </c>
      <c r="G4" s="11">
        <f>'Task Complexity'!AD37</f>
        <v>0</v>
      </c>
      <c r="H4" s="11">
        <f>IF(I4=0,0,'Compare and weight the criteria'!$O$16)</f>
        <v>0</v>
      </c>
      <c r="I4" s="11">
        <f>Feasibility!AD37</f>
        <v>0</v>
      </c>
      <c r="J4" s="11">
        <f t="shared" ref="J4:J29" si="0">B4*C4+D4*E4+F4*G4+H4*I4</f>
        <v>0</v>
      </c>
      <c r="K4" s="11">
        <f t="shared" ref="K4:K29" si="1">_xlfn.RANK.EQ(J4, $J$3:$J$29, 0)</f>
        <v>2</v>
      </c>
      <c r="L4" s="11" t="e">
        <f t="shared" ref="L4:L29" si="2">J4/SUM(J4:J30)</f>
        <v>#DIV/0!</v>
      </c>
    </row>
    <row r="5" spans="1:12" x14ac:dyDescent="0.25">
      <c r="A5" s="48"/>
      <c r="B5" s="11">
        <f>IF(C5=0,0,'Compare and weight the criteria'!$O$13)</f>
        <v>0</v>
      </c>
      <c r="C5" s="11">
        <f>'User Profiles'!AD38</f>
        <v>0</v>
      </c>
      <c r="D5" s="11">
        <f>IF(E5=0,0,'Compare and weight the criteria'!$O$14)</f>
        <v>0</v>
      </c>
      <c r="E5" s="11">
        <f>'App domain specificity'!AD38</f>
        <v>0</v>
      </c>
      <c r="F5" s="11">
        <f>IF(G5=0,0,'Compare and weight the criteria'!$O$15)</f>
        <v>0</v>
      </c>
      <c r="G5" s="11">
        <f>'Task Complexity'!AD38</f>
        <v>0</v>
      </c>
      <c r="H5" s="11">
        <f>IF(I5=0,0,'Compare and weight the criteria'!$O$16)</f>
        <v>0</v>
      </c>
      <c r="I5" s="11">
        <f>Feasibility!AD38</f>
        <v>0</v>
      </c>
      <c r="J5" s="11">
        <f t="shared" si="0"/>
        <v>0</v>
      </c>
      <c r="K5" s="11">
        <f t="shared" si="1"/>
        <v>2</v>
      </c>
      <c r="L5" s="11" t="e">
        <f t="shared" si="2"/>
        <v>#DIV/0!</v>
      </c>
    </row>
    <row r="6" spans="1:12" x14ac:dyDescent="0.25">
      <c r="A6" s="48"/>
      <c r="B6" s="11">
        <f>IF(C6=0,0,'Compare and weight the criteria'!$O$13)</f>
        <v>0</v>
      </c>
      <c r="C6" s="11">
        <f>'User Profiles'!AD39</f>
        <v>0</v>
      </c>
      <c r="D6" s="11">
        <f>IF(E6=0,0,'Compare and weight the criteria'!$O$14)</f>
        <v>0</v>
      </c>
      <c r="E6" s="11">
        <f>'App domain specificity'!AD39</f>
        <v>0</v>
      </c>
      <c r="F6" s="11">
        <f>IF(G6=0,0,'Compare and weight the criteria'!$O$15)</f>
        <v>0</v>
      </c>
      <c r="G6" s="11">
        <f>'Task Complexity'!AD39</f>
        <v>0</v>
      </c>
      <c r="H6" s="11">
        <f>IF(I6=0,0,'Compare and weight the criteria'!$O$16)</f>
        <v>0</v>
      </c>
      <c r="I6" s="11">
        <f>Feasibility!AD39</f>
        <v>0</v>
      </c>
      <c r="J6" s="11">
        <f t="shared" si="0"/>
        <v>0</v>
      </c>
      <c r="K6" s="11">
        <f t="shared" si="1"/>
        <v>2</v>
      </c>
      <c r="L6" s="11" t="e">
        <f t="shared" si="2"/>
        <v>#DIV/0!</v>
      </c>
    </row>
    <row r="7" spans="1:12" x14ac:dyDescent="0.25">
      <c r="A7" s="48"/>
      <c r="B7" s="11">
        <f>IF(C7=0,0,'Compare and weight the criteria'!$O$13)</f>
        <v>0</v>
      </c>
      <c r="C7" s="11">
        <f>'User Profiles'!AD40</f>
        <v>0</v>
      </c>
      <c r="D7" s="11">
        <f>IF(E7=0,0,'Compare and weight the criteria'!$O$14)</f>
        <v>0</v>
      </c>
      <c r="E7" s="11">
        <f>'App domain specificity'!AD40</f>
        <v>0</v>
      </c>
      <c r="F7" s="11">
        <f>IF(G7=0,0,'Compare and weight the criteria'!$O$15)</f>
        <v>0</v>
      </c>
      <c r="G7" s="11">
        <f>'Task Complexity'!AD40</f>
        <v>0</v>
      </c>
      <c r="H7" s="11">
        <f>IF(I7=0,0,'Compare and weight the criteria'!$O$16)</f>
        <v>0</v>
      </c>
      <c r="I7" s="11">
        <f>Feasibility!AD40</f>
        <v>0</v>
      </c>
      <c r="J7" s="11">
        <f t="shared" si="0"/>
        <v>0</v>
      </c>
      <c r="K7" s="11">
        <f t="shared" si="1"/>
        <v>2</v>
      </c>
      <c r="L7" s="11" t="e">
        <f t="shared" si="2"/>
        <v>#DIV/0!</v>
      </c>
    </row>
    <row r="8" spans="1:12" x14ac:dyDescent="0.25">
      <c r="A8" s="48"/>
      <c r="B8" s="11">
        <f>IF(C8=0,0,'Compare and weight the criteria'!$O$13)</f>
        <v>0</v>
      </c>
      <c r="C8" s="11">
        <f>'User Profiles'!AD41</f>
        <v>0</v>
      </c>
      <c r="D8" s="11">
        <f>IF(E8=0,0,'Compare and weight the criteria'!$O$14)</f>
        <v>0</v>
      </c>
      <c r="E8" s="11">
        <f>'App domain specificity'!AD41</f>
        <v>0</v>
      </c>
      <c r="F8" s="11">
        <f>IF(G8=0,0,'Compare and weight the criteria'!$O$15)</f>
        <v>0</v>
      </c>
      <c r="G8" s="11">
        <f>'Task Complexity'!AD41</f>
        <v>0</v>
      </c>
      <c r="H8" s="11">
        <f>IF(I8=0,0,'Compare and weight the criteria'!$O$16)</f>
        <v>0</v>
      </c>
      <c r="I8" s="11">
        <f>Feasibility!AD41</f>
        <v>0</v>
      </c>
      <c r="J8" s="11">
        <f t="shared" si="0"/>
        <v>0</v>
      </c>
      <c r="K8" s="11">
        <f t="shared" si="1"/>
        <v>2</v>
      </c>
      <c r="L8" s="11" t="e">
        <f t="shared" si="2"/>
        <v>#DIV/0!</v>
      </c>
    </row>
    <row r="9" spans="1:12" x14ac:dyDescent="0.25">
      <c r="A9" s="48"/>
      <c r="B9" s="11">
        <f>IF(C9=0,0,'Compare and weight the criteria'!$O$13)</f>
        <v>0</v>
      </c>
      <c r="C9" s="11">
        <f>'User Profiles'!AD42</f>
        <v>0</v>
      </c>
      <c r="D9" s="11">
        <f>IF(E9=0,0,'Compare and weight the criteria'!$O$14)</f>
        <v>0</v>
      </c>
      <c r="E9" s="11">
        <f>'App domain specificity'!AD42</f>
        <v>0</v>
      </c>
      <c r="F9" s="11">
        <f>IF(G9=0,0,'Compare and weight the criteria'!$O$15)</f>
        <v>0</v>
      </c>
      <c r="G9" s="11">
        <f>'Task Complexity'!AD42</f>
        <v>0</v>
      </c>
      <c r="H9" s="11">
        <f>IF(I9=0,0,'Compare and weight the criteria'!$O$16)</f>
        <v>0</v>
      </c>
      <c r="I9" s="11">
        <f>Feasibility!AD42</f>
        <v>0</v>
      </c>
      <c r="J9" s="11">
        <f t="shared" si="0"/>
        <v>0</v>
      </c>
      <c r="K9" s="11">
        <f t="shared" si="1"/>
        <v>2</v>
      </c>
      <c r="L9" s="11" t="e">
        <f t="shared" si="2"/>
        <v>#DIV/0!</v>
      </c>
    </row>
    <row r="10" spans="1:12" x14ac:dyDescent="0.25">
      <c r="A10" s="48"/>
      <c r="B10" s="11">
        <f>IF(C10=0,0,'Compare and weight the criteria'!$O$13)</f>
        <v>0</v>
      </c>
      <c r="C10" s="11">
        <f>'User Profiles'!AD43</f>
        <v>0</v>
      </c>
      <c r="D10" s="11">
        <f>IF(E10=0,0,'Compare and weight the criteria'!$O$14)</f>
        <v>0</v>
      </c>
      <c r="E10" s="11">
        <f>'App domain specificity'!AD43</f>
        <v>0</v>
      </c>
      <c r="F10" s="11">
        <f>IF(G10=0,0,'Compare and weight the criteria'!$O$15)</f>
        <v>0</v>
      </c>
      <c r="G10" s="11">
        <f>'Task Complexity'!AD43</f>
        <v>0</v>
      </c>
      <c r="H10" s="11">
        <f>IF(I10=0,0,'Compare and weight the criteria'!$O$16)</f>
        <v>0</v>
      </c>
      <c r="I10" s="11">
        <f>Feasibility!AD43</f>
        <v>0</v>
      </c>
      <c r="J10" s="11">
        <f t="shared" si="0"/>
        <v>0</v>
      </c>
      <c r="K10" s="11">
        <f t="shared" si="1"/>
        <v>2</v>
      </c>
      <c r="L10" s="11" t="e">
        <f t="shared" si="2"/>
        <v>#DIV/0!</v>
      </c>
    </row>
    <row r="11" spans="1:12" x14ac:dyDescent="0.25">
      <c r="A11" s="48"/>
      <c r="B11" s="11">
        <f>IF(C11=0,0,'Compare and weight the criteria'!$O$13)</f>
        <v>0</v>
      </c>
      <c r="C11" s="11">
        <f>'User Profiles'!AD44</f>
        <v>0</v>
      </c>
      <c r="D11" s="11">
        <f>IF(E11=0,0,'Compare and weight the criteria'!$O$14)</f>
        <v>0</v>
      </c>
      <c r="E11" s="11">
        <f>'App domain specificity'!AD44</f>
        <v>0</v>
      </c>
      <c r="F11" s="11">
        <f>IF(G11=0,0,'Compare and weight the criteria'!$O$15)</f>
        <v>0</v>
      </c>
      <c r="G11" s="11">
        <f>'Task Complexity'!AD44</f>
        <v>0</v>
      </c>
      <c r="H11" s="11">
        <f>IF(I11=0,0,'Compare and weight the criteria'!$O$16)</f>
        <v>0</v>
      </c>
      <c r="I11" s="11">
        <f>Feasibility!AD44</f>
        <v>0</v>
      </c>
      <c r="J11" s="11">
        <f t="shared" si="0"/>
        <v>0</v>
      </c>
      <c r="K11" s="11">
        <f t="shared" si="1"/>
        <v>2</v>
      </c>
      <c r="L11" s="11" t="e">
        <f t="shared" si="2"/>
        <v>#DIV/0!</v>
      </c>
    </row>
    <row r="12" spans="1:12" x14ac:dyDescent="0.25">
      <c r="A12" s="48"/>
      <c r="B12" s="11">
        <f>IF(C12=0,0,'Compare and weight the criteria'!$O$13)</f>
        <v>0</v>
      </c>
      <c r="C12" s="11">
        <f>'User Profiles'!AD45</f>
        <v>0</v>
      </c>
      <c r="D12" s="11">
        <f>IF(E12=0,0,'Compare and weight the criteria'!$O$14)</f>
        <v>0</v>
      </c>
      <c r="E12" s="11">
        <f>'App domain specificity'!AD45</f>
        <v>0</v>
      </c>
      <c r="F12" s="11">
        <f>IF(G12=0,0,'Compare and weight the criteria'!$O$15)</f>
        <v>0</v>
      </c>
      <c r="G12" s="11">
        <f>'Task Complexity'!AD45</f>
        <v>0</v>
      </c>
      <c r="H12" s="11">
        <f>IF(I12=0,0,'Compare and weight the criteria'!$O$16)</f>
        <v>0</v>
      </c>
      <c r="I12" s="11">
        <f>Feasibility!AD45</f>
        <v>0</v>
      </c>
      <c r="J12" s="11">
        <f t="shared" si="0"/>
        <v>0</v>
      </c>
      <c r="K12" s="11">
        <f t="shared" si="1"/>
        <v>2</v>
      </c>
      <c r="L12" s="11" t="e">
        <f t="shared" si="2"/>
        <v>#DIV/0!</v>
      </c>
    </row>
    <row r="13" spans="1:12" x14ac:dyDescent="0.25">
      <c r="A13" s="48"/>
      <c r="B13" s="11">
        <f>IF(C13=0,0,'Compare and weight the criteria'!$O$13)</f>
        <v>0</v>
      </c>
      <c r="C13" s="11">
        <f>'User Profiles'!AD46</f>
        <v>0</v>
      </c>
      <c r="D13" s="11">
        <f>IF(E13=0,0,'Compare and weight the criteria'!$O$14)</f>
        <v>0</v>
      </c>
      <c r="E13" s="11">
        <f>'App domain specificity'!AD46</f>
        <v>0</v>
      </c>
      <c r="F13" s="11">
        <f>IF(G13=0,0,'Compare and weight the criteria'!$O$15)</f>
        <v>0</v>
      </c>
      <c r="G13" s="11">
        <f>'Task Complexity'!AD46</f>
        <v>0</v>
      </c>
      <c r="H13" s="11">
        <f>IF(I13=0,0,'Compare and weight the criteria'!$O$16)</f>
        <v>0</v>
      </c>
      <c r="I13" s="11">
        <f>Feasibility!AD46</f>
        <v>0</v>
      </c>
      <c r="J13" s="11">
        <f t="shared" si="0"/>
        <v>0</v>
      </c>
      <c r="K13" s="11">
        <f t="shared" si="1"/>
        <v>2</v>
      </c>
      <c r="L13" s="11" t="e">
        <f t="shared" si="2"/>
        <v>#DIV/0!</v>
      </c>
    </row>
    <row r="14" spans="1:12" x14ac:dyDescent="0.25">
      <c r="A14" s="48"/>
      <c r="B14" s="11">
        <f>IF(C14=0,0,'Compare and weight the criteria'!$O$13)</f>
        <v>0</v>
      </c>
      <c r="C14" s="11">
        <f>'User Profiles'!AD47</f>
        <v>0</v>
      </c>
      <c r="D14" s="11">
        <f>IF(E14=0,0,'Compare and weight the criteria'!$O$14)</f>
        <v>0</v>
      </c>
      <c r="E14" s="11">
        <f>'App domain specificity'!AD47</f>
        <v>0</v>
      </c>
      <c r="F14" s="11">
        <f>IF(G14=0,0,'Compare and weight the criteria'!$O$15)</f>
        <v>0</v>
      </c>
      <c r="G14" s="11">
        <f>'Task Complexity'!AD47</f>
        <v>0</v>
      </c>
      <c r="H14" s="11">
        <f>IF(I14=0,0,'Compare and weight the criteria'!$O$16)</f>
        <v>0</v>
      </c>
      <c r="I14" s="11">
        <f>Feasibility!AD47</f>
        <v>0</v>
      </c>
      <c r="J14" s="11">
        <f t="shared" si="0"/>
        <v>0</v>
      </c>
      <c r="K14" s="11">
        <f t="shared" si="1"/>
        <v>2</v>
      </c>
      <c r="L14" s="11" t="e">
        <f t="shared" si="2"/>
        <v>#DIV/0!</v>
      </c>
    </row>
    <row r="15" spans="1:12" x14ac:dyDescent="0.25">
      <c r="A15" s="48"/>
      <c r="B15" s="11">
        <f>IF(C15=0,0,'Compare and weight the criteria'!$O$13)</f>
        <v>0</v>
      </c>
      <c r="C15" s="11">
        <f>'User Profiles'!AD48</f>
        <v>0</v>
      </c>
      <c r="D15" s="11">
        <f>IF(E15=0,0,'Compare and weight the criteria'!$O$14)</f>
        <v>0</v>
      </c>
      <c r="E15" s="11">
        <f>'App domain specificity'!AD48</f>
        <v>0</v>
      </c>
      <c r="F15" s="11">
        <f>IF(G15=0,0,'Compare and weight the criteria'!$O$15)</f>
        <v>0</v>
      </c>
      <c r="G15" s="11">
        <f>'Task Complexity'!AD48</f>
        <v>0</v>
      </c>
      <c r="H15" s="11">
        <f>IF(I15=0,0,'Compare and weight the criteria'!$O$16)</f>
        <v>0</v>
      </c>
      <c r="I15" s="11">
        <f>Feasibility!AD48</f>
        <v>0</v>
      </c>
      <c r="J15" s="11">
        <f t="shared" si="0"/>
        <v>0</v>
      </c>
      <c r="K15" s="11">
        <f t="shared" si="1"/>
        <v>2</v>
      </c>
      <c r="L15" s="11" t="e">
        <f t="shared" si="2"/>
        <v>#DIV/0!</v>
      </c>
    </row>
    <row r="16" spans="1:12" x14ac:dyDescent="0.25">
      <c r="A16" s="48"/>
      <c r="B16" s="11">
        <f>IF(C16=0,0,'Compare and weight the criteria'!$O$13)</f>
        <v>0</v>
      </c>
      <c r="C16" s="11">
        <f>'User Profiles'!AD49</f>
        <v>0</v>
      </c>
      <c r="D16" s="11">
        <f>IF(E16=0,0,'Compare and weight the criteria'!$O$14)</f>
        <v>0</v>
      </c>
      <c r="E16" s="11">
        <f>'App domain specificity'!AD49</f>
        <v>0</v>
      </c>
      <c r="F16" s="11">
        <f>IF(G16=0,0,'Compare and weight the criteria'!$O$15)</f>
        <v>0</v>
      </c>
      <c r="G16" s="11">
        <f>'Task Complexity'!AD49</f>
        <v>0</v>
      </c>
      <c r="H16" s="11">
        <f>IF(I16=0,0,'Compare and weight the criteria'!$O$16)</f>
        <v>0</v>
      </c>
      <c r="I16" s="11">
        <f>Feasibility!AD49</f>
        <v>0</v>
      </c>
      <c r="J16" s="11">
        <f t="shared" si="0"/>
        <v>0</v>
      </c>
      <c r="K16" s="11">
        <f t="shared" si="1"/>
        <v>2</v>
      </c>
      <c r="L16" s="11" t="e">
        <f t="shared" si="2"/>
        <v>#DIV/0!</v>
      </c>
    </row>
    <row r="17" spans="1:12" x14ac:dyDescent="0.25">
      <c r="A17" s="48"/>
      <c r="B17" s="11">
        <f>IF(C17=0,0,'Compare and weight the criteria'!$O$13)</f>
        <v>0</v>
      </c>
      <c r="C17" s="11">
        <f>'User Profiles'!AD50</f>
        <v>0</v>
      </c>
      <c r="D17" s="11">
        <f>IF(E17=0,0,'Compare and weight the criteria'!$O$14)</f>
        <v>0</v>
      </c>
      <c r="E17" s="11">
        <f>'App domain specificity'!AD50</f>
        <v>0</v>
      </c>
      <c r="F17" s="11">
        <f>IF(G17=0,0,'Compare and weight the criteria'!$O$15)</f>
        <v>0</v>
      </c>
      <c r="G17" s="11">
        <f>'Task Complexity'!AD50</f>
        <v>0</v>
      </c>
      <c r="H17" s="11">
        <f>IF(I17=0,0,'Compare and weight the criteria'!$O$16)</f>
        <v>0</v>
      </c>
      <c r="I17" s="11">
        <f>Feasibility!AD50</f>
        <v>0</v>
      </c>
      <c r="J17" s="11">
        <f t="shared" si="0"/>
        <v>0</v>
      </c>
      <c r="K17" s="11">
        <f t="shared" si="1"/>
        <v>2</v>
      </c>
      <c r="L17" s="11" t="e">
        <f t="shared" si="2"/>
        <v>#DIV/0!</v>
      </c>
    </row>
    <row r="18" spans="1:12" x14ac:dyDescent="0.25">
      <c r="A18" s="48"/>
      <c r="B18" s="11">
        <f>IF(C18=0,0,'Compare and weight the criteria'!$O$13)</f>
        <v>0</v>
      </c>
      <c r="C18" s="11">
        <f>'User Profiles'!AD51</f>
        <v>0</v>
      </c>
      <c r="D18" s="11">
        <f>IF(E18=0,0,'Compare and weight the criteria'!$O$14)</f>
        <v>0</v>
      </c>
      <c r="E18" s="11">
        <f>'App domain specificity'!AD51</f>
        <v>0</v>
      </c>
      <c r="F18" s="11">
        <f>IF(G18=0,0,'Compare and weight the criteria'!$O$15)</f>
        <v>0</v>
      </c>
      <c r="G18" s="11">
        <f>'Task Complexity'!AD51</f>
        <v>0</v>
      </c>
      <c r="H18" s="11">
        <f>IF(I18=0,0,'Compare and weight the criteria'!$O$16)</f>
        <v>0</v>
      </c>
      <c r="I18" s="11">
        <f>Feasibility!AD51</f>
        <v>0</v>
      </c>
      <c r="J18" s="11">
        <f t="shared" si="0"/>
        <v>0</v>
      </c>
      <c r="K18" s="11">
        <f t="shared" si="1"/>
        <v>2</v>
      </c>
      <c r="L18" s="11" t="e">
        <f t="shared" si="2"/>
        <v>#DIV/0!</v>
      </c>
    </row>
    <row r="19" spans="1:12" x14ac:dyDescent="0.25">
      <c r="A19" s="48"/>
      <c r="B19" s="11">
        <f>IF(C19=0,0,'Compare and weight the criteria'!$O$13)</f>
        <v>0</v>
      </c>
      <c r="C19" s="11">
        <f>'User Profiles'!AD52</f>
        <v>0</v>
      </c>
      <c r="D19" s="11">
        <f>IF(E19=0,0,'Compare and weight the criteria'!$O$14)</f>
        <v>0</v>
      </c>
      <c r="E19" s="11">
        <f>'App domain specificity'!AD52</f>
        <v>0</v>
      </c>
      <c r="F19" s="11">
        <f>IF(G19=0,0,'Compare and weight the criteria'!$O$15)</f>
        <v>0</v>
      </c>
      <c r="G19" s="11">
        <f>'Task Complexity'!AD52</f>
        <v>0</v>
      </c>
      <c r="H19" s="11">
        <f>IF(I19=0,0,'Compare and weight the criteria'!$O$16)</f>
        <v>0</v>
      </c>
      <c r="I19" s="11">
        <f>Feasibility!AD52</f>
        <v>0</v>
      </c>
      <c r="J19" s="11">
        <f t="shared" si="0"/>
        <v>0</v>
      </c>
      <c r="K19" s="11">
        <f t="shared" si="1"/>
        <v>2</v>
      </c>
      <c r="L19" s="11" t="e">
        <f t="shared" si="2"/>
        <v>#DIV/0!</v>
      </c>
    </row>
    <row r="20" spans="1:12" x14ac:dyDescent="0.25">
      <c r="A20" s="48"/>
      <c r="B20" s="11">
        <f>IF(C20=0,0,'Compare and weight the criteria'!$O$13)</f>
        <v>0</v>
      </c>
      <c r="C20" s="11">
        <f>'User Profiles'!AD53</f>
        <v>0</v>
      </c>
      <c r="D20" s="11">
        <f>IF(E20=0,0,'Compare and weight the criteria'!$O$14)</f>
        <v>0</v>
      </c>
      <c r="E20" s="11">
        <f>'App domain specificity'!AD53</f>
        <v>0</v>
      </c>
      <c r="F20" s="11">
        <f>IF(G20=0,0,'Compare and weight the criteria'!$O$15)</f>
        <v>0</v>
      </c>
      <c r="G20" s="11">
        <f>'Task Complexity'!AD53</f>
        <v>0</v>
      </c>
      <c r="H20" s="11">
        <f>IF(I20=0,0,'Compare and weight the criteria'!$O$16)</f>
        <v>0</v>
      </c>
      <c r="I20" s="11">
        <f>Feasibility!AD53</f>
        <v>0</v>
      </c>
      <c r="J20" s="11">
        <f t="shared" si="0"/>
        <v>0</v>
      </c>
      <c r="K20" s="11">
        <f t="shared" si="1"/>
        <v>2</v>
      </c>
      <c r="L20" s="11" t="e">
        <f t="shared" si="2"/>
        <v>#DIV/0!</v>
      </c>
    </row>
    <row r="21" spans="1:12" x14ac:dyDescent="0.25">
      <c r="A21" s="48"/>
      <c r="B21" s="11">
        <f>IF(C21=0,0,'Compare and weight the criteria'!$O$13)</f>
        <v>0</v>
      </c>
      <c r="C21" s="11">
        <f>'User Profiles'!AD54</f>
        <v>0</v>
      </c>
      <c r="D21" s="11">
        <f>IF(E21=0,0,'Compare and weight the criteria'!$O$14)</f>
        <v>0</v>
      </c>
      <c r="E21" s="11">
        <f>'App domain specificity'!AD54</f>
        <v>0</v>
      </c>
      <c r="F21" s="11">
        <f>IF(G21=0,0,'Compare and weight the criteria'!$O$15)</f>
        <v>0</v>
      </c>
      <c r="G21" s="11">
        <f>'Task Complexity'!AD54</f>
        <v>0</v>
      </c>
      <c r="H21" s="11">
        <f>IF(I21=0,0,'Compare and weight the criteria'!$O$16)</f>
        <v>0</v>
      </c>
      <c r="I21" s="11">
        <f>Feasibility!AD54</f>
        <v>0</v>
      </c>
      <c r="J21" s="11">
        <f t="shared" si="0"/>
        <v>0</v>
      </c>
      <c r="K21" s="11">
        <f t="shared" si="1"/>
        <v>2</v>
      </c>
      <c r="L21" s="11" t="e">
        <f t="shared" si="2"/>
        <v>#DIV/0!</v>
      </c>
    </row>
    <row r="22" spans="1:12" x14ac:dyDescent="0.25">
      <c r="A22" s="48"/>
      <c r="B22" s="11">
        <f>IF(C22=0,0,'Compare and weight the criteria'!$O$13)</f>
        <v>0</v>
      </c>
      <c r="C22" s="11">
        <f>'User Profiles'!AD55</f>
        <v>0</v>
      </c>
      <c r="D22" s="11">
        <f>IF(E22=0,0,'Compare and weight the criteria'!$O$14)</f>
        <v>0</v>
      </c>
      <c r="E22" s="11">
        <f>'App domain specificity'!AD55</f>
        <v>0</v>
      </c>
      <c r="F22" s="11">
        <f>IF(G22=0,0,'Compare and weight the criteria'!$O$15)</f>
        <v>0</v>
      </c>
      <c r="G22" s="11">
        <f>'Task Complexity'!AD55</f>
        <v>0</v>
      </c>
      <c r="H22" s="11">
        <f>IF(I22=0,0,'Compare and weight the criteria'!$O$16)</f>
        <v>0</v>
      </c>
      <c r="I22" s="11">
        <f>Feasibility!AD55</f>
        <v>0</v>
      </c>
      <c r="J22" s="11">
        <f t="shared" si="0"/>
        <v>0</v>
      </c>
      <c r="K22" s="11">
        <f t="shared" si="1"/>
        <v>2</v>
      </c>
      <c r="L22" s="11" t="e">
        <f t="shared" si="2"/>
        <v>#DIV/0!</v>
      </c>
    </row>
    <row r="23" spans="1:12" x14ac:dyDescent="0.25">
      <c r="A23" s="48"/>
      <c r="B23" s="11">
        <f>IF(C23=0,0,'Compare and weight the criteria'!$O$13)</f>
        <v>0</v>
      </c>
      <c r="C23" s="11">
        <f>'User Profiles'!AD56</f>
        <v>0</v>
      </c>
      <c r="D23" s="11">
        <f>IF(E23=0,0,'Compare and weight the criteria'!$O$14)</f>
        <v>0</v>
      </c>
      <c r="E23" s="11">
        <f>'App domain specificity'!AD56</f>
        <v>0</v>
      </c>
      <c r="F23" s="11">
        <f>IF(G23=0,0,'Compare and weight the criteria'!$O$15)</f>
        <v>0</v>
      </c>
      <c r="G23" s="11">
        <f>'Task Complexity'!AD56</f>
        <v>0</v>
      </c>
      <c r="H23" s="11">
        <f>IF(I23=0,0,'Compare and weight the criteria'!$O$16)</f>
        <v>0</v>
      </c>
      <c r="I23" s="11">
        <f>Feasibility!AD56</f>
        <v>0</v>
      </c>
      <c r="J23" s="11">
        <f t="shared" si="0"/>
        <v>0</v>
      </c>
      <c r="K23" s="11">
        <f t="shared" si="1"/>
        <v>2</v>
      </c>
      <c r="L23" s="11" t="e">
        <f t="shared" si="2"/>
        <v>#DIV/0!</v>
      </c>
    </row>
    <row r="24" spans="1:12" x14ac:dyDescent="0.25">
      <c r="A24" s="48"/>
      <c r="B24" s="11">
        <f>IF(C24=0,0,'Compare and weight the criteria'!$O$13)</f>
        <v>0</v>
      </c>
      <c r="C24" s="11">
        <f>'User Profiles'!AD57</f>
        <v>0</v>
      </c>
      <c r="D24" s="11">
        <f>IF(E24=0,0,'Compare and weight the criteria'!$O$14)</f>
        <v>0</v>
      </c>
      <c r="E24" s="11">
        <f>'App domain specificity'!AD57</f>
        <v>0</v>
      </c>
      <c r="F24" s="11">
        <f>IF(G24=0,0,'Compare and weight the criteria'!$O$15)</f>
        <v>0</v>
      </c>
      <c r="G24" s="11">
        <f>'Task Complexity'!AD57</f>
        <v>0</v>
      </c>
      <c r="H24" s="11">
        <f>IF(I24=0,0,'Compare and weight the criteria'!$O$16)</f>
        <v>0</v>
      </c>
      <c r="I24" s="11">
        <f>Feasibility!AD57</f>
        <v>0</v>
      </c>
      <c r="J24" s="11">
        <f t="shared" si="0"/>
        <v>0</v>
      </c>
      <c r="K24" s="11">
        <f t="shared" si="1"/>
        <v>2</v>
      </c>
      <c r="L24" s="11" t="e">
        <f t="shared" si="2"/>
        <v>#DIV/0!</v>
      </c>
    </row>
    <row r="25" spans="1:12" x14ac:dyDescent="0.25">
      <c r="A25" s="48"/>
      <c r="B25" s="11">
        <f>IF(C25=0,0,'Compare and weight the criteria'!$O$13)</f>
        <v>0</v>
      </c>
      <c r="C25" s="11">
        <f>'User Profiles'!AD58</f>
        <v>0</v>
      </c>
      <c r="D25" s="11">
        <f>IF(E25=0,0,'Compare and weight the criteria'!$O$14)</f>
        <v>0</v>
      </c>
      <c r="E25" s="11">
        <f>'App domain specificity'!AD58</f>
        <v>0</v>
      </c>
      <c r="F25" s="11">
        <f>IF(G25=0,0,'Compare and weight the criteria'!$O$15)</f>
        <v>0</v>
      </c>
      <c r="G25" s="11">
        <f>'Task Complexity'!AD58</f>
        <v>0</v>
      </c>
      <c r="H25" s="11">
        <f>IF(I25=0,0,'Compare and weight the criteria'!$O$16)</f>
        <v>0</v>
      </c>
      <c r="I25" s="11">
        <f>Feasibility!AD58</f>
        <v>0</v>
      </c>
      <c r="J25" s="11">
        <f t="shared" si="0"/>
        <v>0</v>
      </c>
      <c r="K25" s="11">
        <f t="shared" si="1"/>
        <v>2</v>
      </c>
      <c r="L25" s="11" t="e">
        <f t="shared" si="2"/>
        <v>#DIV/0!</v>
      </c>
    </row>
    <row r="26" spans="1:12" x14ac:dyDescent="0.25">
      <c r="A26" s="48"/>
      <c r="B26" s="11">
        <f>IF(C26=0,0,'Compare and weight the criteria'!$O$13)</f>
        <v>0</v>
      </c>
      <c r="C26" s="11">
        <f>'User Profiles'!AD59</f>
        <v>0</v>
      </c>
      <c r="D26" s="11">
        <f>IF(E26=0,0,'Compare and weight the criteria'!$O$14)</f>
        <v>0</v>
      </c>
      <c r="E26" s="11">
        <f>'App domain specificity'!AD59</f>
        <v>0</v>
      </c>
      <c r="F26" s="11">
        <f>IF(G26=0,0,'Compare and weight the criteria'!$O$15)</f>
        <v>0</v>
      </c>
      <c r="G26" s="11">
        <f>'Task Complexity'!AD59</f>
        <v>0</v>
      </c>
      <c r="H26" s="11">
        <f>IF(I26=0,0,'Compare and weight the criteria'!$O$16)</f>
        <v>0</v>
      </c>
      <c r="I26" s="11">
        <f>Feasibility!AD59</f>
        <v>0</v>
      </c>
      <c r="J26" s="11">
        <f t="shared" si="0"/>
        <v>0</v>
      </c>
      <c r="K26" s="11">
        <f t="shared" si="1"/>
        <v>2</v>
      </c>
      <c r="L26" s="11" t="e">
        <f t="shared" si="2"/>
        <v>#DIV/0!</v>
      </c>
    </row>
    <row r="27" spans="1:12" x14ac:dyDescent="0.25">
      <c r="A27" s="48"/>
      <c r="B27" s="11">
        <f>IF(C27=0,0,'Compare and weight the criteria'!$O$13)</f>
        <v>0</v>
      </c>
      <c r="C27" s="11">
        <f>'User Profiles'!AD60</f>
        <v>0</v>
      </c>
      <c r="D27" s="11">
        <f>IF(E27=0,0,'Compare and weight the criteria'!$O$14)</f>
        <v>0</v>
      </c>
      <c r="E27" s="11">
        <f>'App domain specificity'!AD60</f>
        <v>0</v>
      </c>
      <c r="F27" s="11">
        <f>IF(G27=0,0,'Compare and weight the criteria'!$O$15)</f>
        <v>0</v>
      </c>
      <c r="G27" s="11">
        <f>'Task Complexity'!AD60</f>
        <v>0</v>
      </c>
      <c r="H27" s="11">
        <f>IF(I27=0,0,'Compare and weight the criteria'!$O$16)</f>
        <v>0</v>
      </c>
      <c r="I27" s="11">
        <f>Feasibility!AD60</f>
        <v>0</v>
      </c>
      <c r="J27" s="11">
        <f t="shared" si="0"/>
        <v>0</v>
      </c>
      <c r="K27" s="11">
        <f t="shared" si="1"/>
        <v>2</v>
      </c>
      <c r="L27" s="11" t="e">
        <f t="shared" si="2"/>
        <v>#DIV/0!</v>
      </c>
    </row>
    <row r="28" spans="1:12" x14ac:dyDescent="0.25">
      <c r="A28" s="48"/>
      <c r="B28" s="11">
        <f>IF(C28=0,0,'Compare and weight the criteria'!$O$13)</f>
        <v>0</v>
      </c>
      <c r="C28" s="11">
        <f>'User Profiles'!AD61</f>
        <v>0</v>
      </c>
      <c r="D28" s="11">
        <f>IF(E28=0,0,'Compare and weight the criteria'!$O$14)</f>
        <v>0</v>
      </c>
      <c r="E28" s="11">
        <f>'App domain specificity'!AD61</f>
        <v>0</v>
      </c>
      <c r="F28" s="11">
        <f>IF(G28=0,0,'Compare and weight the criteria'!$O$15)</f>
        <v>0</v>
      </c>
      <c r="G28" s="11">
        <f>'Task Complexity'!AD61</f>
        <v>0</v>
      </c>
      <c r="H28" s="11">
        <f>IF(I28=0,0,'Compare and weight the criteria'!$O$16)</f>
        <v>0</v>
      </c>
      <c r="I28" s="11">
        <f>Feasibility!AD61</f>
        <v>0</v>
      </c>
      <c r="J28" s="11">
        <f t="shared" si="0"/>
        <v>0</v>
      </c>
      <c r="K28" s="11">
        <f t="shared" si="1"/>
        <v>2</v>
      </c>
      <c r="L28" s="11" t="e">
        <f t="shared" si="2"/>
        <v>#DIV/0!</v>
      </c>
    </row>
    <row r="29" spans="1:12" x14ac:dyDescent="0.25">
      <c r="A29" s="48"/>
      <c r="B29" s="11">
        <f>IF(C29=0,0,'Compare and weight the criteria'!$O$13)</f>
        <v>0</v>
      </c>
      <c r="C29" s="11">
        <f>'User Profiles'!AD62</f>
        <v>0</v>
      </c>
      <c r="D29" s="11">
        <f>IF(E29=0,0,'Compare and weight the criteria'!$O$14)</f>
        <v>0</v>
      </c>
      <c r="E29" s="11">
        <f>'App domain specificity'!AD62</f>
        <v>0</v>
      </c>
      <c r="F29" s="11">
        <f>IF(G29=0,0,'Compare and weight the criteria'!$O$15)</f>
        <v>0</v>
      </c>
      <c r="G29" s="11">
        <f>'Task Complexity'!AD62</f>
        <v>0</v>
      </c>
      <c r="H29" s="11">
        <f>IF(I29=0,0,'Compare and weight the criteria'!$O$16)</f>
        <v>0</v>
      </c>
      <c r="I29" s="11">
        <f>Feasibility!AD62</f>
        <v>0</v>
      </c>
      <c r="J29" s="11">
        <f t="shared" si="0"/>
        <v>0</v>
      </c>
      <c r="K29" s="11">
        <f t="shared" si="1"/>
        <v>2</v>
      </c>
      <c r="L29" s="11" t="e">
        <f t="shared" si="2"/>
        <v>#DIV/0!</v>
      </c>
    </row>
    <row r="30" spans="1:12" s="1" customFormat="1" x14ac:dyDescent="0.25">
      <c r="A30" s="51"/>
    </row>
    <row r="31" spans="1:12" s="1" customFormat="1" x14ac:dyDescent="0.25"/>
    <row r="32" spans="1:12" s="1" customFormat="1" x14ac:dyDescent="0.25"/>
    <row r="33" s="1" customFormat="1" x14ac:dyDescent="0.25"/>
    <row r="34" s="1" customFormat="1" x14ac:dyDescent="0.25"/>
    <row r="35" s="1" customFormat="1" x14ac:dyDescent="0.25"/>
    <row r="36" s="1" customFormat="1" x14ac:dyDescent="0.25"/>
    <row r="37" s="1" customFormat="1" x14ac:dyDescent="0.25"/>
    <row r="38" s="1" customFormat="1" x14ac:dyDescent="0.25"/>
    <row r="39" s="1" customFormat="1" x14ac:dyDescent="0.25"/>
    <row r="40" s="1" customFormat="1" x14ac:dyDescent="0.25"/>
    <row r="41" s="1" customFormat="1" x14ac:dyDescent="0.25"/>
    <row r="42" s="1" customFormat="1" x14ac:dyDescent="0.25"/>
    <row r="43" s="1" customFormat="1" x14ac:dyDescent="0.25"/>
    <row r="44" s="1" customFormat="1" x14ac:dyDescent="0.25"/>
    <row r="45" s="1" customFormat="1" x14ac:dyDescent="0.25"/>
    <row r="46" s="1" customFormat="1" x14ac:dyDescent="0.25"/>
    <row r="47" s="1" customFormat="1" x14ac:dyDescent="0.25"/>
    <row r="48"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x14ac:dyDescent="0.25"/>
    <row r="60" s="1" customFormat="1" x14ac:dyDescent="0.25"/>
    <row r="61" s="1" customFormat="1" x14ac:dyDescent="0.25"/>
    <row r="62" s="1" customFormat="1" x14ac:dyDescent="0.25"/>
    <row r="63" s="1" customFormat="1" x14ac:dyDescent="0.25"/>
    <row r="64" s="1" customFormat="1" x14ac:dyDescent="0.25"/>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sheetData>
  <sheetProtection algorithmName="SHA-512" hashValue="s+0ly7igtGfK/9kkZIJ+2ka/cKcOCi32ONNhnX5YkOO84KrAETg0oPhbvATBGtr/9ds6rACrwLdmQIqAFV9oHA==" saltValue="+C73hejWuYLWaDlIiaDXOw==" spinCount="100000" sheet="1" objects="1" scenarios="1"/>
  <mergeCells count="1">
    <mergeCell ref="C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MoSCoW Method</vt:lpstr>
      <vt:lpstr>AHP(Structure the hierarchy)</vt:lpstr>
      <vt:lpstr>Compare and weight the criteria</vt:lpstr>
      <vt:lpstr>User Profiles</vt:lpstr>
      <vt:lpstr>App domain specificity</vt:lpstr>
      <vt:lpstr>Task Complexity</vt:lpstr>
      <vt:lpstr>Feasibility</vt:lpstr>
      <vt:lpstr>Total scores</vt:lpstr>
      <vt:lpstr>'MoSCoW Method'!_edn1</vt:lpstr>
      <vt:lpstr>'MoSCoW Method'!_edn2</vt:lpstr>
      <vt:lpstr>'MoSCoW Method'!_ednref2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HAIFA ABDULLAH KHUDAIR ALSHAMMARE</dc:creator>
  <cp:lastModifiedBy>HAIFA ABDULLAH KHUDAIR ALSHAMMARE</cp:lastModifiedBy>
  <dcterms:created xsi:type="dcterms:W3CDTF">2024-05-12T14:20:08Z</dcterms:created>
  <dcterms:modified xsi:type="dcterms:W3CDTF">2025-12-14T12:09:06Z</dcterms:modified>
</cp:coreProperties>
</file>