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ifa\Dropbox\PhD\Dissertation\Objective2-Framework\Remaining steps\tools\"/>
    </mc:Choice>
  </mc:AlternateContent>
  <xr:revisionPtr revIDLastSave="0" documentId="13_ncr:1_{3D35C463-549E-4577-87CD-1432D73DE78B}" xr6:coauthVersionLast="47" xr6:coauthVersionMax="47" xr10:uidLastSave="{00000000-0000-0000-0000-000000000000}"/>
  <bookViews>
    <workbookView xWindow="-108" yWindow="-108" windowWidth="23256" windowHeight="12456" tabRatio="942" activeTab="2" xr2:uid="{BE22BE80-65C2-4C7A-AD39-EA303F5F1678}"/>
  </bookViews>
  <sheets>
    <sheet name="Use-Value" sheetId="4" r:id="rId1"/>
    <sheet name="Effort-Complexity" sheetId="6" r:id="rId2"/>
    <sheet name="Methods Priority Calculation" sheetId="14" r:id="rId3"/>
  </sheets>
  <definedNames>
    <definedName name="_edn1" localSheetId="0">'Use-Value'!$A$1006</definedName>
    <definedName name="_edn2" localSheetId="0">'Use-Value'!$A$1007</definedName>
    <definedName name="_ednref1" localSheetId="0">'Use-Value'!#REF!</definedName>
    <definedName name="_ednref2" localSheetId="0">'Use-Value'!#REF!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4" l="1" a="1"/>
  <c r="A2" i="14" s="1"/>
  <c r="A5" i="6" a="1"/>
  <c r="A5" i="6" s="1"/>
  <c r="E6" i="6" l="1"/>
  <c r="C3" i="14" s="1"/>
  <c r="E7" i="6"/>
  <c r="E8" i="6"/>
  <c r="E9" i="6"/>
  <c r="E10" i="6"/>
  <c r="E11" i="6"/>
  <c r="E12" i="6"/>
  <c r="C9" i="14" s="1"/>
  <c r="E13" i="6"/>
  <c r="C10" i="14" s="1"/>
  <c r="E14" i="6"/>
  <c r="C11" i="14" s="1"/>
  <c r="E15" i="6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D13" i="14" l="1"/>
  <c r="E13" i="14" s="1"/>
  <c r="D14" i="14"/>
  <c r="E14" i="14" s="1"/>
  <c r="D15" i="14"/>
  <c r="E15" i="14" s="1"/>
  <c r="D16" i="14"/>
  <c r="E16" i="14" s="1"/>
  <c r="D17" i="14"/>
  <c r="E17" i="14" s="1"/>
  <c r="D18" i="14"/>
  <c r="E18" i="14" s="1"/>
  <c r="D19" i="14"/>
  <c r="E19" i="14" s="1"/>
  <c r="D20" i="14"/>
  <c r="E20" i="14" s="1"/>
  <c r="D21" i="14"/>
  <c r="E21" i="14" s="1"/>
  <c r="D22" i="14"/>
  <c r="E22" i="14" s="1"/>
  <c r="D23" i="14"/>
  <c r="E23" i="14" s="1"/>
  <c r="D24" i="14"/>
  <c r="E24" i="14" s="1"/>
  <c r="D25" i="14"/>
  <c r="E25" i="14" s="1"/>
  <c r="D26" i="14"/>
  <c r="E26" i="14" s="1"/>
  <c r="D27" i="14"/>
  <c r="E27" i="14" s="1"/>
  <c r="D28" i="14"/>
  <c r="E28" i="14" s="1"/>
  <c r="D29" i="14"/>
  <c r="E29" i="14" s="1"/>
  <c r="D30" i="14"/>
  <c r="E30" i="14" s="1"/>
  <c r="D31" i="14"/>
  <c r="E31" i="14" s="1"/>
  <c r="D32" i="14"/>
  <c r="E32" i="14" s="1"/>
  <c r="D33" i="14"/>
  <c r="E33" i="14" s="1"/>
  <c r="D34" i="14"/>
  <c r="E34" i="14" s="1"/>
  <c r="D35" i="14"/>
  <c r="E35" i="14" s="1"/>
  <c r="D36" i="14"/>
  <c r="E36" i="14" s="1"/>
  <c r="D37" i="14"/>
  <c r="E37" i="14" s="1"/>
  <c r="C4" i="14" l="1"/>
  <c r="C5" i="14"/>
  <c r="F12" i="6"/>
  <c r="F13" i="6"/>
  <c r="F14" i="6"/>
  <c r="F15" i="6"/>
  <c r="E16" i="6"/>
  <c r="F16" i="6"/>
  <c r="E17" i="6"/>
  <c r="F17" i="6" s="1"/>
  <c r="E18" i="6"/>
  <c r="F18" i="6" s="1"/>
  <c r="E19" i="6"/>
  <c r="F19" i="6" s="1"/>
  <c r="E20" i="6"/>
  <c r="F20" i="6" s="1"/>
  <c r="E21" i="6"/>
  <c r="F21" i="6" s="1"/>
  <c r="E22" i="6"/>
  <c r="F22" i="6" s="1"/>
  <c r="E23" i="6"/>
  <c r="F23" i="6" s="1"/>
  <c r="E24" i="6"/>
  <c r="F24" i="6"/>
  <c r="E25" i="6"/>
  <c r="F25" i="6" s="1"/>
  <c r="E26" i="6"/>
  <c r="F26" i="6" s="1"/>
  <c r="E27" i="6"/>
  <c r="F27" i="6" s="1"/>
  <c r="E28" i="6"/>
  <c r="F28" i="6"/>
  <c r="E29" i="6"/>
  <c r="F29" i="6" s="1"/>
  <c r="E30" i="6"/>
  <c r="F30" i="6" s="1"/>
  <c r="E31" i="6"/>
  <c r="F31" i="6" s="1"/>
  <c r="E32" i="6"/>
  <c r="F32" i="6" s="1"/>
  <c r="E33" i="6"/>
  <c r="F33" i="6" s="1"/>
  <c r="E34" i="6"/>
  <c r="F34" i="6" s="1"/>
  <c r="E35" i="6"/>
  <c r="F35" i="6" s="1"/>
  <c r="E5" i="6"/>
  <c r="C2" i="14" s="1"/>
  <c r="G6" i="4"/>
  <c r="B3" i="14" s="1"/>
  <c r="G7" i="4"/>
  <c r="B4" i="14" s="1"/>
  <c r="G8" i="4"/>
  <c r="B5" i="14" s="1"/>
  <c r="G9" i="4"/>
  <c r="B6" i="14" s="1"/>
  <c r="G10" i="4"/>
  <c r="G11" i="4"/>
  <c r="G12" i="4"/>
  <c r="B9" i="14" s="1"/>
  <c r="D9" i="14" s="1"/>
  <c r="G13" i="4"/>
  <c r="B10" i="14" s="1"/>
  <c r="D10" i="14" s="1"/>
  <c r="G14" i="4"/>
  <c r="G15" i="4"/>
  <c r="G16" i="4"/>
  <c r="H16" i="4"/>
  <c r="G17" i="4"/>
  <c r="H17" i="4"/>
  <c r="G18" i="4"/>
  <c r="H18" i="4" s="1"/>
  <c r="G19" i="4"/>
  <c r="H19" i="4" s="1"/>
  <c r="G20" i="4"/>
  <c r="H20" i="4"/>
  <c r="G21" i="4"/>
  <c r="H21" i="4"/>
  <c r="G22" i="4"/>
  <c r="H22" i="4" s="1"/>
  <c r="G23" i="4"/>
  <c r="H23" i="4" s="1"/>
  <c r="G24" i="4"/>
  <c r="H24" i="4"/>
  <c r="G25" i="4"/>
  <c r="H25" i="4"/>
  <c r="G26" i="4"/>
  <c r="H26" i="4" s="1"/>
  <c r="G27" i="4"/>
  <c r="H27" i="4" s="1"/>
  <c r="G28" i="4"/>
  <c r="H28" i="4"/>
  <c r="G29" i="4"/>
  <c r="H29" i="4"/>
  <c r="G30" i="4"/>
  <c r="H30" i="4" s="1"/>
  <c r="G31" i="4"/>
  <c r="H31" i="4" s="1"/>
  <c r="G32" i="4"/>
  <c r="H32" i="4"/>
  <c r="G33" i="4"/>
  <c r="H33" i="4"/>
  <c r="G34" i="4"/>
  <c r="H34" i="4" s="1"/>
  <c r="G35" i="4"/>
  <c r="H35" i="4" s="1"/>
  <c r="G5" i="4"/>
  <c r="B2" i="14" s="1"/>
  <c r="H15" i="4" l="1"/>
  <c r="B12" i="14"/>
  <c r="D12" i="14" s="1"/>
  <c r="E12" i="14" s="1"/>
  <c r="H14" i="4"/>
  <c r="B11" i="14"/>
  <c r="D11" i="14" s="1"/>
  <c r="H13" i="4"/>
  <c r="H12" i="4"/>
  <c r="F11" i="6"/>
  <c r="C8" i="14"/>
  <c r="F10" i="6"/>
  <c r="C7" i="14"/>
  <c r="F9" i="6"/>
  <c r="C6" i="14"/>
  <c r="D6" i="14" s="1"/>
  <c r="H11" i="4"/>
  <c r="B8" i="14"/>
  <c r="H10" i="4"/>
  <c r="B7" i="14"/>
  <c r="H9" i="4"/>
  <c r="F8" i="6"/>
  <c r="D5" i="14"/>
  <c r="H8" i="4"/>
  <c r="F7" i="6"/>
  <c r="H7" i="4"/>
  <c r="F6" i="6"/>
  <c r="F5" i="6"/>
  <c r="H6" i="4"/>
  <c r="H5" i="4"/>
  <c r="D2" i="14"/>
  <c r="E11" i="14" l="1"/>
  <c r="E9" i="14"/>
  <c r="E10" i="14"/>
  <c r="D8" i="14"/>
  <c r="D7" i="14"/>
  <c r="D4" i="14"/>
  <c r="D3" i="14"/>
  <c r="E8" i="14" l="1"/>
  <c r="E7" i="14"/>
  <c r="E6" i="14"/>
  <c r="E3" i="14"/>
  <c r="E2" i="14"/>
  <c r="E4" i="14"/>
  <c r="E5" i="1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<sst xmlns="http://schemas.openxmlformats.org/spreadsheetml/2006/main" count="27" uniqueCount="21">
  <si>
    <t>User profiles</t>
  </si>
  <si>
    <t>Domain:</t>
  </si>
  <si>
    <r>
      <rPr>
        <b/>
        <u/>
        <sz val="9"/>
        <color rgb="FFFF0000"/>
        <rFont val="Times New Roman"/>
        <family val="1"/>
        <scheme val="major"/>
      </rPr>
      <t>Use Value Scale (1 to 5):</t>
    </r>
    <r>
      <rPr>
        <sz val="9"/>
        <color theme="1"/>
        <rFont val="Times New Roman"/>
        <family val="1"/>
        <scheme val="major"/>
      </rPr>
      <t xml:space="preserve">
</t>
    </r>
    <r>
      <rPr>
        <b/>
        <sz val="9"/>
        <color theme="1"/>
        <rFont val="Times New Roman"/>
        <family val="1"/>
        <scheme val="major"/>
      </rPr>
      <t xml:space="preserve">1: </t>
    </r>
    <r>
      <rPr>
        <sz val="9"/>
        <color theme="1"/>
        <rFont val="Times New Roman"/>
        <family val="1"/>
        <scheme val="major"/>
      </rPr>
      <t xml:space="preserve">Very Low Use Value – Minimal impact or benefit.
</t>
    </r>
    <r>
      <rPr>
        <b/>
        <sz val="9"/>
        <color theme="1"/>
        <rFont val="Times New Roman"/>
        <family val="1"/>
        <scheme val="major"/>
      </rPr>
      <t>2:</t>
    </r>
    <r>
      <rPr>
        <sz val="9"/>
        <color theme="1"/>
        <rFont val="Times New Roman"/>
        <family val="1"/>
        <scheme val="major"/>
      </rPr>
      <t xml:space="preserve"> Low Use Value – Some impact or benefit but not significant.
</t>
    </r>
    <r>
      <rPr>
        <b/>
        <sz val="9"/>
        <color theme="1"/>
        <rFont val="Times New Roman"/>
        <family val="1"/>
        <scheme val="major"/>
      </rPr>
      <t>3:</t>
    </r>
    <r>
      <rPr>
        <sz val="9"/>
        <color theme="1"/>
        <rFont val="Times New Roman"/>
        <family val="1"/>
        <scheme val="major"/>
      </rPr>
      <t xml:space="preserve"> Medium Use Value – Moderate impact or benefit.
</t>
    </r>
    <r>
      <rPr>
        <b/>
        <sz val="9"/>
        <color theme="1"/>
        <rFont val="Times New Roman"/>
        <family val="1"/>
        <scheme val="major"/>
      </rPr>
      <t>4:</t>
    </r>
    <r>
      <rPr>
        <sz val="9"/>
        <color theme="1"/>
        <rFont val="Times New Roman"/>
        <family val="1"/>
        <scheme val="major"/>
      </rPr>
      <t xml:space="preserve"> High Use Value – Significant impact or benefit.
</t>
    </r>
    <r>
      <rPr>
        <b/>
        <sz val="9"/>
        <color theme="1"/>
        <rFont val="Times New Roman"/>
        <family val="1"/>
        <scheme val="major"/>
      </rPr>
      <t xml:space="preserve">5: </t>
    </r>
    <r>
      <rPr>
        <sz val="9"/>
        <color theme="1"/>
        <rFont val="Times New Roman"/>
        <family val="1"/>
        <scheme val="major"/>
      </rPr>
      <t>Very High Use Value – Major impact or benefit, critical for success in evaluating the UX aspect.</t>
    </r>
  </si>
  <si>
    <t xml:space="preserve">List of UX Aspect evaluation methods </t>
  </si>
  <si>
    <t>Evaluation Goals</t>
  </si>
  <si>
    <t>App domain</t>
  </si>
  <si>
    <t>Stage of Development</t>
  </si>
  <si>
    <t>Type of Data Needed</t>
  </si>
  <si>
    <t>Use Value rating</t>
  </si>
  <si>
    <t xml:space="preserve">Total Use Value </t>
  </si>
  <si>
    <t>Interpretation</t>
  </si>
  <si>
    <r>
      <rPr>
        <b/>
        <u/>
        <sz val="9"/>
        <color rgb="FFFF0000"/>
        <rFont val="Times New Roman"/>
        <family val="1"/>
        <scheme val="major"/>
      </rPr>
      <t>Effort/Complexity Scale (1 to 5):</t>
    </r>
    <r>
      <rPr>
        <sz val="9"/>
        <color theme="1"/>
        <rFont val="Times New Roman"/>
        <family val="1"/>
        <scheme val="major"/>
      </rPr>
      <t xml:space="preserve">
</t>
    </r>
    <r>
      <rPr>
        <b/>
        <sz val="9"/>
        <color theme="1"/>
        <rFont val="Times New Roman"/>
        <family val="1"/>
        <scheme val="major"/>
      </rPr>
      <t xml:space="preserve">1: </t>
    </r>
    <r>
      <rPr>
        <sz val="9"/>
        <color theme="1"/>
        <rFont val="Times New Roman"/>
        <family val="1"/>
        <scheme val="major"/>
      </rPr>
      <t xml:space="preserve">Very Low Effort/Complexity – Minimal effort or complexity required.
</t>
    </r>
    <r>
      <rPr>
        <b/>
        <sz val="9"/>
        <color theme="1"/>
        <rFont val="Times New Roman"/>
        <family val="1"/>
        <scheme val="major"/>
      </rPr>
      <t>2:</t>
    </r>
    <r>
      <rPr>
        <sz val="9"/>
        <color theme="1"/>
        <rFont val="Times New Roman"/>
        <family val="1"/>
        <scheme val="major"/>
      </rPr>
      <t xml:space="preserve"> Low Effort/Complexity – Some effort or complexity is required but manageable.
</t>
    </r>
    <r>
      <rPr>
        <b/>
        <sz val="9"/>
        <color theme="1"/>
        <rFont val="Times New Roman"/>
        <family val="1"/>
        <scheme val="major"/>
      </rPr>
      <t xml:space="preserve">3: </t>
    </r>
    <r>
      <rPr>
        <sz val="9"/>
        <color theme="1"/>
        <rFont val="Times New Roman"/>
        <family val="1"/>
        <scheme val="major"/>
      </rPr>
      <t xml:space="preserve">Medium Effort/Complexity – Moderate effort or complexity required.
</t>
    </r>
    <r>
      <rPr>
        <b/>
        <sz val="9"/>
        <color theme="1"/>
        <rFont val="Times New Roman"/>
        <family val="1"/>
        <scheme val="major"/>
      </rPr>
      <t>4:</t>
    </r>
    <r>
      <rPr>
        <sz val="9"/>
        <color theme="1"/>
        <rFont val="Times New Roman"/>
        <family val="1"/>
        <scheme val="major"/>
      </rPr>
      <t xml:space="preserve"> High Effort/Complexity – Significant effort or complexity required.
</t>
    </r>
    <r>
      <rPr>
        <b/>
        <sz val="9"/>
        <color theme="1"/>
        <rFont val="Times New Roman"/>
        <family val="1"/>
        <scheme val="major"/>
      </rPr>
      <t xml:space="preserve">5: </t>
    </r>
    <r>
      <rPr>
        <sz val="9"/>
        <color theme="1"/>
        <rFont val="Times New Roman"/>
        <family val="1"/>
        <scheme val="major"/>
      </rPr>
      <t>Very High Effort/Complexity – Major effort or complexity required, highly challenging.</t>
    </r>
  </si>
  <si>
    <t>Resources Availability</t>
  </si>
  <si>
    <t>Technical Complexity</t>
  </si>
  <si>
    <t>Ease of Data Collection and Analysis</t>
  </si>
  <si>
    <t>Effort/Complexity rating</t>
  </si>
  <si>
    <t xml:space="preserve">Total Effort/Complexity </t>
  </si>
  <si>
    <t>Use Value-Effort/Complexity Ratio</t>
  </si>
  <si>
    <t>Priority</t>
  </si>
  <si>
    <r>
      <rPr>
        <b/>
        <u/>
        <sz val="10"/>
        <color rgb="FFFF0000"/>
        <rFont val="Times New Roman"/>
        <family val="1"/>
        <scheme val="major"/>
      </rPr>
      <t xml:space="preserve">Step-2: Calculate Effort/Complexity for each evaluation method: 
</t>
    </r>
    <r>
      <rPr>
        <b/>
        <sz val="10"/>
        <color theme="1"/>
        <rFont val="Times New Roman"/>
        <family val="1"/>
        <scheme val="major"/>
      </rPr>
      <t>Use the scale on the side to rate the Effort/Complexity for each method against each factor in the table below (</t>
    </r>
    <r>
      <rPr>
        <b/>
        <u/>
        <sz val="10"/>
        <color rgb="FF0070C0"/>
        <rFont val="Times New Roman"/>
        <family val="1"/>
        <scheme val="major"/>
      </rPr>
      <t>in blue cells</t>
    </r>
    <r>
      <rPr>
        <b/>
        <sz val="12"/>
        <color theme="1"/>
        <rFont val="Times New Roman"/>
        <family val="1"/>
        <scheme val="major"/>
      </rPr>
      <t>).</t>
    </r>
    <r>
      <rPr>
        <b/>
        <i/>
        <u/>
        <sz val="9"/>
        <color rgb="FFFF0000"/>
        <rFont val="Times New Roman"/>
        <family val="1"/>
        <scheme val="major"/>
      </rPr>
      <t xml:space="preserve">
</t>
    </r>
    <r>
      <rPr>
        <b/>
        <u/>
        <sz val="9"/>
        <color rgb="FFFF0000"/>
        <rFont val="Times New Roman"/>
        <family val="1"/>
        <scheme val="major"/>
      </rPr>
      <t>Use Value factors:</t>
    </r>
    <r>
      <rPr>
        <sz val="9"/>
        <color theme="1"/>
        <rFont val="Times New Roman"/>
        <family val="1"/>
        <scheme val="major"/>
      </rPr>
      <t xml:space="preserve">
</t>
    </r>
    <r>
      <rPr>
        <b/>
        <sz val="9"/>
        <color theme="1"/>
        <rFont val="Times New Roman"/>
        <family val="1"/>
        <scheme val="major"/>
      </rPr>
      <t>-Resources Availability:</t>
    </r>
    <r>
      <rPr>
        <sz val="9"/>
        <color theme="1"/>
        <rFont val="Times New Roman"/>
        <family val="1"/>
        <scheme val="major"/>
      </rPr>
      <t xml:space="preserve"> The availability of resources such as budget, time, and personnel required to implement the method.
</t>
    </r>
    <r>
      <rPr>
        <b/>
        <sz val="9"/>
        <color theme="1"/>
        <rFont val="Times New Roman"/>
        <family val="1"/>
        <scheme val="major"/>
      </rPr>
      <t>-Technical Complexity:</t>
    </r>
    <r>
      <rPr>
        <sz val="9"/>
        <color theme="1"/>
        <rFont val="Times New Roman"/>
        <family val="1"/>
        <scheme val="major"/>
      </rPr>
      <t xml:space="preserve"> The technical challenges involved in setting up and executing the method, including tools and platforms required.
</t>
    </r>
    <r>
      <rPr>
        <b/>
        <sz val="9"/>
        <color theme="1"/>
        <rFont val="Times New Roman"/>
        <family val="1"/>
        <scheme val="major"/>
      </rPr>
      <t>-Ease of Data Collection and Analysis:</t>
    </r>
    <r>
      <rPr>
        <sz val="9"/>
        <color theme="1"/>
        <rFont val="Times New Roman"/>
        <family val="1"/>
        <scheme val="major"/>
      </rPr>
      <t xml:space="preserve"> How straightforward it is to collect and analyze data using the method.</t>
    </r>
  </si>
  <si>
    <r>
      <rPr>
        <b/>
        <sz val="9"/>
        <rFont val="Times New Roman"/>
        <family val="1"/>
        <scheme val="major"/>
      </rPr>
      <t xml:space="preserve">This tool is designed to help prioritize evaluation methods of the UX aspect using the </t>
    </r>
    <r>
      <rPr>
        <b/>
        <u/>
        <sz val="10"/>
        <rFont val="Times New Roman"/>
        <family val="1"/>
        <scheme val="major"/>
      </rPr>
      <t>Use Value- Efort/Complexity Matrix</t>
    </r>
    <r>
      <rPr>
        <b/>
        <sz val="9"/>
        <rFont val="Times New Roman"/>
        <family val="1"/>
        <scheme val="major"/>
      </rPr>
      <t>.</t>
    </r>
    <r>
      <rPr>
        <sz val="9"/>
        <color theme="1"/>
        <rFont val="Times New Roman"/>
        <family val="1"/>
        <scheme val="major"/>
      </rPr>
      <t xml:space="preserve">
</t>
    </r>
    <r>
      <rPr>
        <b/>
        <u/>
        <sz val="10"/>
        <color rgb="FFFF0000"/>
        <rFont val="Times New Roman"/>
        <family val="1"/>
        <scheme val="major"/>
      </rPr>
      <t xml:space="preserve">Step-1: Calculate Use Value for each evaluation method: 
</t>
    </r>
    <r>
      <rPr>
        <b/>
        <sz val="10"/>
        <color theme="1"/>
        <rFont val="Times New Roman"/>
        <family val="1"/>
        <scheme val="major"/>
      </rPr>
      <t>Use the scale on the side to rate the use value for each method against each factor in the table below (</t>
    </r>
    <r>
      <rPr>
        <b/>
        <u/>
        <sz val="10"/>
        <color rgb="FF0070C0"/>
        <rFont val="Times New Roman"/>
        <family val="1"/>
        <scheme val="major"/>
      </rPr>
      <t>in blue cells</t>
    </r>
    <r>
      <rPr>
        <b/>
        <sz val="12"/>
        <color theme="1"/>
        <rFont val="Times New Roman"/>
        <family val="1"/>
        <scheme val="major"/>
      </rPr>
      <t>).</t>
    </r>
    <r>
      <rPr>
        <b/>
        <i/>
        <u/>
        <sz val="9"/>
        <color rgb="FFFF0000"/>
        <rFont val="Times New Roman"/>
        <family val="1"/>
        <scheme val="major"/>
      </rPr>
      <t xml:space="preserve">
</t>
    </r>
    <r>
      <rPr>
        <b/>
        <u/>
        <sz val="9"/>
        <color rgb="FFFF0000"/>
        <rFont val="Times New Roman"/>
        <family val="1"/>
        <scheme val="major"/>
      </rPr>
      <t>Use Value factors:</t>
    </r>
    <r>
      <rPr>
        <sz val="9"/>
        <color theme="1"/>
        <rFont val="Times New Roman"/>
        <family val="1"/>
        <scheme val="major"/>
      </rPr>
      <t xml:space="preserve">
</t>
    </r>
    <r>
      <rPr>
        <b/>
        <sz val="9"/>
        <color theme="1"/>
        <rFont val="Times New Roman"/>
        <family val="1"/>
        <scheme val="major"/>
      </rPr>
      <t>-Evaluation Goals:</t>
    </r>
    <r>
      <rPr>
        <sz val="9"/>
        <color theme="1"/>
        <rFont val="Times New Roman"/>
        <family val="1"/>
        <scheme val="major"/>
      </rPr>
      <t xml:space="preserve"> How well the method aligns with the specific evaluation goals ((i) Before using the system/applications, (ii) Snapshots during the interaction, (iii) Based on an experience (of a task or an activity), and (iv) Based on long-term UX).
</t>
    </r>
    <r>
      <rPr>
        <b/>
        <sz val="9"/>
        <color theme="1"/>
        <rFont val="Times New Roman"/>
        <family val="1"/>
        <scheme val="major"/>
      </rPr>
      <t xml:space="preserve">-User Profiles: </t>
    </r>
    <r>
      <rPr>
        <sz val="9"/>
        <color theme="1"/>
        <rFont val="Times New Roman"/>
        <family val="1"/>
        <scheme val="major"/>
      </rPr>
      <t xml:space="preserve">How well does the method cater to the specific characteristics of your user base (e.g., novice users vs. expert users)?
</t>
    </r>
    <r>
      <rPr>
        <b/>
        <sz val="9"/>
        <color theme="1"/>
        <rFont val="Times New Roman"/>
        <family val="1"/>
        <scheme val="major"/>
      </rPr>
      <t xml:space="preserve">-Application Domain: </t>
    </r>
    <r>
      <rPr>
        <sz val="9"/>
        <color theme="1"/>
        <rFont val="Times New Roman"/>
        <family val="1"/>
        <scheme val="major"/>
      </rPr>
      <t>The suitability of the method for the type of application being evaluated (e.g., e-commerce vs. health apps).
-</t>
    </r>
    <r>
      <rPr>
        <b/>
        <sz val="9"/>
        <color theme="1"/>
        <rFont val="Times New Roman"/>
        <family val="1"/>
        <scheme val="major"/>
      </rPr>
      <t>Stage of Development:</t>
    </r>
    <r>
      <rPr>
        <sz val="9"/>
        <color theme="1"/>
        <rFont val="Times New Roman"/>
        <family val="1"/>
        <scheme val="major"/>
      </rPr>
      <t xml:space="preserve"> How effective the method is at the current stage of the app’s development (e.g., prototype vs. post-launch).
-</t>
    </r>
    <r>
      <rPr>
        <b/>
        <sz val="9"/>
        <color theme="1"/>
        <rFont val="Times New Roman"/>
        <family val="1"/>
        <scheme val="major"/>
      </rPr>
      <t xml:space="preserve">Type of Data Needed: </t>
    </r>
    <r>
      <rPr>
        <sz val="9"/>
        <color theme="1"/>
        <rFont val="Times New Roman"/>
        <family val="1"/>
        <scheme val="major"/>
      </rPr>
      <t xml:space="preserve">Whether the method provides the type of data required (e.g., qualitative insights vs. quantitative metrics).	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</si>
</sst>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sz val="9"/>
      <color theme="1"/>
      <name val="Times New Roman"/>
      <family val="1"/>
      <scheme val="major"/>
    </font>
    <font>
      <b/>
      <sz val="9"/>
      <name val="Times New Roman"/>
      <family val="1"/>
      <scheme val="major"/>
    </font>
    <font>
      <b/>
      <sz val="9"/>
      <color theme="1"/>
      <name val="Times New Roman"/>
      <family val="1"/>
      <scheme val="major"/>
    </font>
    <font>
      <b/>
      <sz val="10"/>
      <color theme="1"/>
      <name val="Times New Roman"/>
      <family val="1"/>
      <scheme val="major"/>
    </font>
    <font>
      <b/>
      <sz val="10"/>
      <color rgb="FFFF0000"/>
      <name val="Times New Roman"/>
      <family val="1"/>
      <scheme val="major"/>
    </font>
    <font>
      <b/>
      <sz val="12"/>
      <color theme="1"/>
      <name val="Times New Roman"/>
      <family val="1"/>
      <scheme val="major"/>
    </font>
    <font>
      <b/>
      <sz val="12"/>
      <color rgb="FFFF0000"/>
      <name val="Times New Roman"/>
      <family val="1"/>
      <scheme val="major"/>
    </font>
    <font>
      <b/>
      <u/>
      <sz val="10"/>
      <color rgb="FFFF0000"/>
      <name val="Times New Roman"/>
      <family val="1"/>
      <scheme val="major"/>
    </font>
    <font>
      <b/>
      <i/>
      <u/>
      <sz val="9"/>
      <color rgb="FFFF0000"/>
      <name val="Times New Roman"/>
      <family val="1"/>
      <scheme val="major"/>
    </font>
    <font>
      <b/>
      <u/>
      <sz val="9"/>
      <color rgb="FFFF0000"/>
      <name val="Times New Roman"/>
      <family val="1"/>
      <scheme val="major"/>
    </font>
    <font>
      <b/>
      <u/>
      <sz val="10"/>
      <color rgb="FF0070C0"/>
      <name val="Times New Roman"/>
      <family val="1"/>
      <scheme val="major"/>
    </font>
    <font>
      <sz val="11"/>
      <color theme="1"/>
      <name val="Aptos"/>
      <family val="2"/>
    </font>
    <font>
      <b/>
      <sz val="10"/>
      <color theme="1"/>
      <name val="Arial"/>
      <family val="2"/>
      <scheme val="minor"/>
    </font>
    <font>
      <b/>
      <u/>
      <sz val="10"/>
      <name val="Times New Roman"/>
      <family val="1"/>
      <scheme val="major"/>
    </font>
    <font>
      <sz val="11"/>
      <color theme="1"/>
      <name val="Linux Libertine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E593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4" fillId="0" borderId="1" xfId="0" applyFont="1" applyBorder="1" applyAlignment="1">
      <alignment horizontal="left" vertical="center" indent="2" readingOrder="1"/>
    </xf>
    <xf numFmtId="0" fontId="9" fillId="7" borderId="5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2" fillId="6" borderId="1" xfId="0" applyFont="1" applyFill="1" applyBorder="1"/>
    <xf numFmtId="0" fontId="0" fillId="0" borderId="1" xfId="0" applyBorder="1" applyAlignment="1">
      <alignment horizontal="center"/>
    </xf>
    <xf numFmtId="0" fontId="1" fillId="6" borderId="1" xfId="0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7" fillId="0" borderId="1" xfId="0" applyFont="1" applyBorder="1" applyAlignment="1" applyProtection="1">
      <alignment horizontal="left" vertical="center" indent="2" readingOrder="1"/>
      <protection locked="0"/>
    </xf>
    <xf numFmtId="0" fontId="17" fillId="2" borderId="1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593"/>
      <color rgb="FFFF9933"/>
      <color rgb="FFE6F0FA"/>
      <color rgb="FFE7F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Use Value-Effort/Complexity Matrix </a:t>
            </a:r>
          </a:p>
        </c:rich>
      </c:tx>
      <c:layout>
        <c:manualLayout>
          <c:xMode val="edge"/>
          <c:yMode val="edge"/>
          <c:x val="0.23649999999999999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ar-SA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'Methods Priority Calculation'!$C$1</c:f>
              <c:strCache>
                <c:ptCount val="1"/>
                <c:pt idx="0">
                  <c:v>Total Effort/Complexity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solidFill>
                  <a:schemeClr val="bg1"/>
                </a:solidFill>
                <a:ln w="9525">
                  <a:solidFill>
                    <a:schemeClr val="bg1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bg1"/>
                </a:solidFill>
                <a:prstDash val="solid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E4E6-4609-818B-FE72BD4BC4EC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6AE2B350-C889-4F3E-8F1E-4259459DB0F8}" type="CELLRANGE">
                      <a:rPr lang="en-US"/>
                      <a:pPr/>
                      <a:t>[CELLRANGE]</a:t>
                    </a:fld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E4E6-4609-818B-FE72BD4BC4E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2EC6A7C-A0D2-49A6-B41B-4A6952C0779F}" type="CELLRANGE">
                      <a:rPr lang="ar-SA"/>
                      <a:pPr/>
                      <a:t>[CELLRANGE]</a:t>
                    </a:fld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E4E6-4609-818B-FE72BD4BC4E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B4F661D-26E4-4313-8DCC-014B47DF4635}" type="CELLRANGE">
                      <a:rPr lang="ar-SA"/>
                      <a:pPr/>
                      <a:t>[CELLRANGE]</a:t>
                    </a:fld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E4E6-4609-818B-FE72BD4BC4EC}"/>
                </c:ext>
              </c:extLst>
            </c:dLbl>
            <c:dLbl>
              <c:idx val="3"/>
              <c:layout>
                <c:manualLayout>
                  <c:x val="-8.4680664916885487E-2"/>
                  <c:y val="5.3275371828521351E-2"/>
                </c:manualLayout>
              </c:layout>
              <c:tx>
                <c:rich>
                  <a:bodyPr/>
                  <a:lstStyle/>
                  <a:p>
                    <a:fld id="{02CF640E-E91A-4DB6-9F9A-2C4CBF878ED5}" type="CELLRANGE">
                      <a:rPr lang="en-US"/>
                      <a:pPr/>
                      <a:t>[CELLRANGE]</a:t>
                    </a:fld>
                    <a:endParaRPr lang="ar-SA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E4E6-4609-818B-FE72BD4BC4E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14246F1-CA68-4AEB-8CDA-8B6C313EC1D9}" type="CELLRANGE">
                      <a:rPr lang="ar-SA"/>
                      <a:pPr/>
                      <a:t>[CELLRANGE]</a:t>
                    </a:fld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E4E6-4609-818B-FE72BD4BC4E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F455365-088D-48AB-BC13-411DA0461030}" type="CELLRANGE">
                      <a:rPr lang="ar-SA"/>
                      <a:pPr/>
                      <a:t>[CELLRANGE]</a:t>
                    </a:fld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E4E6-4609-818B-FE72BD4BC4E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665B3E0-3012-4ED4-A431-DF2A1C2771D9}" type="CELLRANGE">
                      <a:rPr lang="ar-SA"/>
                      <a:pPr/>
                      <a:t>[CELLRANGE]</a:t>
                    </a:fld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E4E6-4609-818B-FE72BD4BC4E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5E984C3-9A7B-455F-B148-DFA6CB40D66B}" type="CELLRANGE">
                      <a:rPr lang="ar-SA"/>
                      <a:pPr/>
                      <a:t>[CELLRANGE]</a:t>
                    </a:fld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E4E6-4609-818B-FE72BD4BC4E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B0206F8-CFE2-4C92-B84E-A436EC98B5BD}" type="CELLRANGE">
                      <a:rPr lang="ar-SA"/>
                      <a:pPr/>
                      <a:t>[CELLRANGE]</a:t>
                    </a:fld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E4E6-4609-818B-FE72BD4BC4E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12C973D-4EFD-4486-A716-259854698ECA}" type="CELLRANGE">
                      <a:rPr lang="ar-SA"/>
                      <a:pPr/>
                      <a:t>[CELLRANGE]</a:t>
                    </a:fld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E4E6-4609-818B-FE72BD4BC4E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09D455B-715B-463A-A30B-63897E9E4A5A}" type="CELLRANGE">
                      <a:rPr lang="ar-SA"/>
                      <a:pPr/>
                      <a:t>[CELLRANGE]</a:t>
                    </a:fld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E4E6-4609-818B-FE72BD4BC4E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ADD8F59E-73AC-415E-BEE0-B89A03F077D0}" type="CELLRANGE">
                      <a:rPr lang="ar-SA"/>
                      <a:pPr/>
                      <a:t>[CELLRANGE]</a:t>
                    </a:fld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E4E6-4609-818B-FE72BD4BC4E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ADEA314-66CF-425E-B2FC-F90908FD1DA0}" type="CELLRANGE">
                      <a:rPr lang="ar-SA"/>
                      <a:pPr/>
                      <a:t>[CELLRANGE]</a:t>
                    </a:fld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E4E6-4609-818B-FE72BD4BC4E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65A21900-E3D4-4591-966A-61E31FF88E63}" type="CELLRANGE">
                      <a:rPr lang="ar-SA"/>
                      <a:pPr/>
                      <a:t>[CELLRANGE]</a:t>
                    </a:fld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E4E6-4609-818B-FE72BD4BC4E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C2F2D09D-073D-47FF-B150-C65AD15B2791}" type="CELLRANGE">
                      <a:rPr lang="ar-SA"/>
                      <a:pPr/>
                      <a:t>[CELLRANGE]</a:t>
                    </a:fld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E4E6-4609-818B-FE72BD4BC4E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7CB6BE1C-6138-4282-9FFB-E9D41A617577}" type="CELLRANGE">
                      <a:rPr lang="ar-SA"/>
                      <a:pPr/>
                      <a:t>[CELLRANGE]</a:t>
                    </a:fld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E4E6-4609-818B-FE72BD4BC4E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8C95F699-64DA-4228-842A-AEAF80179723}" type="CELLRANGE">
                      <a:rPr lang="ar-SA"/>
                      <a:pPr/>
                      <a:t>[CELLRANGE]</a:t>
                    </a:fld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E4E6-4609-818B-FE72BD4BC4E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321B1249-6A80-40D9-84D1-652663275509}" type="CELLRANGE">
                      <a:rPr lang="ar-SA"/>
                      <a:pPr/>
                      <a:t>[CELLRANGE]</a:t>
                    </a:fld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E4E6-4609-818B-FE72BD4BC4E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4D91675E-D3A6-46E6-BE94-BEE70688B126}" type="CELLRANGE">
                      <a:rPr lang="ar-SA"/>
                      <a:pPr/>
                      <a:t>[CELLRANGE]</a:t>
                    </a:fld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E4E6-4609-818B-FE72BD4BC4EC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B604AD8D-C955-4EC3-B414-5910DCA6AE52}" type="CELLRANGE">
                      <a:rPr lang="ar-SA"/>
                      <a:pPr/>
                      <a:t>[CELLRANGE]</a:t>
                    </a:fld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E4E6-4609-818B-FE72BD4BC4EC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E8CA89ED-B5DE-4B36-92E2-0273B1FDBBAE}" type="CELLRANGE">
                      <a:rPr lang="ar-SA"/>
                      <a:pPr/>
                      <a:t>[CELLRANGE]</a:t>
                    </a:fld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E4E6-4609-818B-FE72BD4BC4EC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2AEDF91D-B582-4052-9485-ADC02B06AEB1}" type="CELLRANGE">
                      <a:rPr lang="ar-SA"/>
                      <a:pPr/>
                      <a:t>[CELLRANGE]</a:t>
                    </a:fld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E4E6-4609-818B-FE72BD4BC4EC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F9704FDD-0464-4EEA-9BFD-AF2F89BF9A60}" type="CELLRANGE">
                      <a:rPr lang="ar-SA"/>
                      <a:pPr/>
                      <a:t>[CELLRANGE]</a:t>
                    </a:fld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E4E6-4609-818B-FE72BD4BC4E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A74E5EDE-45A2-41B2-9C30-81D7232FD691}" type="CELLRANGE">
                      <a:rPr lang="ar-SA"/>
                      <a:pPr/>
                      <a:t>[CELLRANGE]</a:t>
                    </a:fld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E4E6-4609-818B-FE72BD4BC4EC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2851A491-18DE-47C0-8141-5ED0D10E9BB7}" type="CELLRANGE">
                      <a:rPr lang="ar-SA"/>
                      <a:pPr/>
                      <a:t>[CELLRANGE]</a:t>
                    </a:fld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E4E6-4609-818B-FE72BD4BC4EC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99EC5398-FABC-4D3C-86AE-A2A798A68F78}" type="CELLRANGE">
                      <a:rPr lang="ar-SA"/>
                      <a:pPr/>
                      <a:t>[CELLRANGE]</a:t>
                    </a:fld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E4E6-4609-818B-FE72BD4BC4EC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57D2C484-3552-4665-9D24-8C701AB4FE2D}" type="CELLRANGE">
                      <a:rPr lang="ar-SA"/>
                      <a:pPr/>
                      <a:t>[CELLRANGE]</a:t>
                    </a:fld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E4E6-4609-818B-FE72BD4BC4EC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4DDE1146-88AA-4F07-B112-56914658DD84}" type="CELLRANGE">
                      <a:rPr lang="ar-SA"/>
                      <a:pPr/>
                      <a:t>[CELLRANGE]</a:t>
                    </a:fld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E4E6-4609-818B-FE72BD4BC4EC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9E1AD5D9-8335-46CB-BC0E-FC2C7611B74A}" type="CELLRANGE">
                      <a:rPr lang="ar-SA"/>
                      <a:pPr/>
                      <a:t>[CELLRANGE]</a:t>
                    </a:fld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E4E6-4609-818B-FE72BD4BC4EC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F76E3526-9F80-46EB-878F-2FD5979BC1E9}" type="CELLRANGE">
                      <a:rPr lang="ar-SA"/>
                      <a:pPr/>
                      <a:t>[CELLRANGE]</a:t>
                    </a:fld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E4E6-4609-818B-FE72BD4BC4EC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E1D2F766-559C-4315-85E9-0B817B235F86}" type="CELLRANGE">
                      <a:rPr lang="ar-SA"/>
                      <a:pPr/>
                      <a:t>[CELLRANGE]</a:t>
                    </a:fld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E4E6-4609-818B-FE72BD4BC4EC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F939B5A1-3E87-4053-8EA7-48634DF711FC}" type="CELLRANGE">
                      <a:rPr lang="ar-SA"/>
                      <a:pPr/>
                      <a:t>[CELLRANGE]</a:t>
                    </a:fld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0-E4E6-4609-818B-FE72BD4BC4EC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0647FF1F-B72F-4CDE-AC01-5113D2472899}" type="CELLRANGE">
                      <a:rPr lang="ar-SA"/>
                      <a:pPr/>
                      <a:t>[CELLRANGE]</a:t>
                    </a:fld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E4E6-4609-818B-FE72BD4BC4EC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925FC24E-DCDC-419D-BD86-19462FB7ECB2}" type="CELLRANGE">
                      <a:rPr lang="ar-SA"/>
                      <a:pPr/>
                      <a:t>[CELLRANGE]</a:t>
                    </a:fld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2-E4E6-4609-818B-FE72BD4BC4EC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E387D814-1D30-4703-9BD8-E9209A7CFFFC}" type="CELLRANGE">
                      <a:rPr lang="ar-SA"/>
                      <a:pPr/>
                      <a:t>[CELLRANGE]</a:t>
                    </a:fld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E4E6-4609-818B-FE72BD4BC4EC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FAD18747-24DE-4823-B3EF-34136ABA5036}" type="CELLRANGE">
                      <a:rPr lang="ar-SA"/>
                      <a:pPr/>
                      <a:t>[CELLRANGE]</a:t>
                    </a:fld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4-E4E6-4609-818B-FE72BD4BC4EC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E4E6-4609-818B-FE72BD4BC4EC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E4E6-4609-818B-FE72BD4BC4EC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E4E6-4609-818B-FE72BD4BC4EC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E4E6-4609-818B-FE72BD4BC4EC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E4E6-4609-818B-FE72BD4BC4EC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E4E6-4609-818B-FE72BD4BC4EC}"/>
                </c:ext>
              </c:extLst>
            </c:dLbl>
            <c:dLbl>
              <c:idx val="42"/>
              <c:tx>
                <c:rich>
                  <a:bodyPr/>
                  <a:lstStyle/>
                  <a:p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E4E6-4609-818B-FE72BD4BC4EC}"/>
                </c:ext>
              </c:extLst>
            </c:dLbl>
            <c:dLbl>
              <c:idx val="43"/>
              <c:tx>
                <c:rich>
                  <a:bodyPr/>
                  <a:lstStyle/>
                  <a:p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E4E6-4609-818B-FE72BD4BC4EC}"/>
                </c:ext>
              </c:extLst>
            </c:dLbl>
            <c:dLbl>
              <c:idx val="44"/>
              <c:tx>
                <c:rich>
                  <a:bodyPr/>
                  <a:lstStyle/>
                  <a:p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E4E6-4609-818B-FE72BD4BC4EC}"/>
                </c:ext>
              </c:extLst>
            </c:dLbl>
            <c:dLbl>
              <c:idx val="45"/>
              <c:tx>
                <c:rich>
                  <a:bodyPr/>
                  <a:lstStyle/>
                  <a:p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E4E6-4609-818B-FE72BD4BC4EC}"/>
                </c:ext>
              </c:extLst>
            </c:dLbl>
            <c:dLbl>
              <c:idx val="46"/>
              <c:tx>
                <c:rich>
                  <a:bodyPr/>
                  <a:lstStyle/>
                  <a:p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E4E6-4609-818B-FE72BD4BC4EC}"/>
                </c:ext>
              </c:extLst>
            </c:dLbl>
            <c:dLbl>
              <c:idx val="47"/>
              <c:tx>
                <c:rich>
                  <a:bodyPr/>
                  <a:lstStyle/>
                  <a:p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E4E6-4609-818B-FE72BD4BC4EC}"/>
                </c:ext>
              </c:extLst>
            </c:dLbl>
            <c:dLbl>
              <c:idx val="48"/>
              <c:tx>
                <c:rich>
                  <a:bodyPr/>
                  <a:lstStyle/>
                  <a:p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E4E6-4609-818B-FE72BD4BC4EC}"/>
                </c:ext>
              </c:extLst>
            </c:dLbl>
            <c:dLbl>
              <c:idx val="49"/>
              <c:tx>
                <c:rich>
                  <a:bodyPr/>
                  <a:lstStyle/>
                  <a:p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E4E6-4609-818B-FE72BD4BC4EC}"/>
                </c:ext>
              </c:extLst>
            </c:dLbl>
            <c:dLbl>
              <c:idx val="50"/>
              <c:tx>
                <c:rich>
                  <a:bodyPr/>
                  <a:lstStyle/>
                  <a:p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E4E6-4609-818B-FE72BD4BC4EC}"/>
                </c:ext>
              </c:extLst>
            </c:dLbl>
            <c:dLbl>
              <c:idx val="51"/>
              <c:tx>
                <c:rich>
                  <a:bodyPr/>
                  <a:lstStyle/>
                  <a:p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E4E6-4609-818B-FE72BD4BC4EC}"/>
                </c:ext>
              </c:extLst>
            </c:dLbl>
            <c:dLbl>
              <c:idx val="52"/>
              <c:tx>
                <c:rich>
                  <a:bodyPr/>
                  <a:lstStyle/>
                  <a:p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E4E6-4609-818B-FE72BD4BC4EC}"/>
                </c:ext>
              </c:extLst>
            </c:dLbl>
            <c:dLbl>
              <c:idx val="53"/>
              <c:tx>
                <c:rich>
                  <a:bodyPr/>
                  <a:lstStyle/>
                  <a:p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E4E6-4609-818B-FE72BD4BC4EC}"/>
                </c:ext>
              </c:extLst>
            </c:dLbl>
            <c:dLbl>
              <c:idx val="54"/>
              <c:tx>
                <c:rich>
                  <a:bodyPr/>
                  <a:lstStyle/>
                  <a:p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E4E6-4609-818B-FE72BD4BC4EC}"/>
                </c:ext>
              </c:extLst>
            </c:dLbl>
            <c:dLbl>
              <c:idx val="55"/>
              <c:tx>
                <c:rich>
                  <a:bodyPr/>
                  <a:lstStyle/>
                  <a:p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E4E6-4609-818B-FE72BD4BC4EC}"/>
                </c:ext>
              </c:extLst>
            </c:dLbl>
            <c:dLbl>
              <c:idx val="56"/>
              <c:tx>
                <c:rich>
                  <a:bodyPr/>
                  <a:lstStyle/>
                  <a:p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E4E6-4609-818B-FE72BD4BC4EC}"/>
                </c:ext>
              </c:extLst>
            </c:dLbl>
            <c:dLbl>
              <c:idx val="57"/>
              <c:tx>
                <c:rich>
                  <a:bodyPr/>
                  <a:lstStyle/>
                  <a:p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E4E6-4609-818B-FE72BD4BC4EC}"/>
                </c:ext>
              </c:extLst>
            </c:dLbl>
            <c:dLbl>
              <c:idx val="58"/>
              <c:tx>
                <c:rich>
                  <a:bodyPr/>
                  <a:lstStyle/>
                  <a:p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E4E6-4609-818B-FE72BD4BC4EC}"/>
                </c:ext>
              </c:extLst>
            </c:dLbl>
            <c:dLbl>
              <c:idx val="59"/>
              <c:tx>
                <c:rich>
                  <a:bodyPr/>
                  <a:lstStyle/>
                  <a:p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E4E6-4609-818B-FE72BD4BC4EC}"/>
                </c:ext>
              </c:extLst>
            </c:dLbl>
            <c:dLbl>
              <c:idx val="60"/>
              <c:tx>
                <c:rich>
                  <a:bodyPr/>
                  <a:lstStyle/>
                  <a:p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E4E6-4609-818B-FE72BD4BC4EC}"/>
                </c:ext>
              </c:extLst>
            </c:dLbl>
            <c:dLbl>
              <c:idx val="61"/>
              <c:tx>
                <c:rich>
                  <a:bodyPr/>
                  <a:lstStyle/>
                  <a:p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E4E6-4609-818B-FE72BD4BC4EC}"/>
                </c:ext>
              </c:extLst>
            </c:dLbl>
            <c:dLbl>
              <c:idx val="62"/>
              <c:tx>
                <c:rich>
                  <a:bodyPr/>
                  <a:lstStyle/>
                  <a:p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E4E6-4609-818B-FE72BD4BC4EC}"/>
                </c:ext>
              </c:extLst>
            </c:dLbl>
            <c:dLbl>
              <c:idx val="63"/>
              <c:tx>
                <c:rich>
                  <a:bodyPr/>
                  <a:lstStyle/>
                  <a:p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E4E6-4609-818B-FE72BD4BC4EC}"/>
                </c:ext>
              </c:extLst>
            </c:dLbl>
            <c:dLbl>
              <c:idx val="64"/>
              <c:tx>
                <c:rich>
                  <a:bodyPr/>
                  <a:lstStyle/>
                  <a:p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E4E6-4609-818B-FE72BD4BC4EC}"/>
                </c:ext>
              </c:extLst>
            </c:dLbl>
            <c:dLbl>
              <c:idx val="65"/>
              <c:tx>
                <c:rich>
                  <a:bodyPr/>
                  <a:lstStyle/>
                  <a:p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E4E6-4609-818B-FE72BD4BC4EC}"/>
                </c:ext>
              </c:extLst>
            </c:dLbl>
            <c:dLbl>
              <c:idx val="66"/>
              <c:tx>
                <c:rich>
                  <a:bodyPr/>
                  <a:lstStyle/>
                  <a:p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E4E6-4609-818B-FE72BD4BC4EC}"/>
                </c:ext>
              </c:extLst>
            </c:dLbl>
            <c:dLbl>
              <c:idx val="67"/>
              <c:tx>
                <c:rich>
                  <a:bodyPr/>
                  <a:lstStyle/>
                  <a:p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E4E6-4609-818B-FE72BD4BC4EC}"/>
                </c:ext>
              </c:extLst>
            </c:dLbl>
            <c:dLbl>
              <c:idx val="68"/>
              <c:tx>
                <c:rich>
                  <a:bodyPr/>
                  <a:lstStyle/>
                  <a:p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E4E6-4609-818B-FE72BD4BC4EC}"/>
                </c:ext>
              </c:extLst>
            </c:dLbl>
            <c:dLbl>
              <c:idx val="69"/>
              <c:tx>
                <c:rich>
                  <a:bodyPr/>
                  <a:lstStyle/>
                  <a:p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E4E6-4609-818B-FE72BD4BC4EC}"/>
                </c:ext>
              </c:extLst>
            </c:dLbl>
            <c:dLbl>
              <c:idx val="70"/>
              <c:tx>
                <c:rich>
                  <a:bodyPr/>
                  <a:lstStyle/>
                  <a:p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E4E6-4609-818B-FE72BD4BC4EC}"/>
                </c:ext>
              </c:extLst>
            </c:dLbl>
            <c:dLbl>
              <c:idx val="71"/>
              <c:tx>
                <c:rich>
                  <a:bodyPr/>
                  <a:lstStyle/>
                  <a:p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E4E6-4609-818B-FE72BD4BC4EC}"/>
                </c:ext>
              </c:extLst>
            </c:dLbl>
            <c:dLbl>
              <c:idx val="72"/>
              <c:tx>
                <c:rich>
                  <a:bodyPr/>
                  <a:lstStyle/>
                  <a:p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E4E6-4609-818B-FE72BD4BC4EC}"/>
                </c:ext>
              </c:extLst>
            </c:dLbl>
            <c:dLbl>
              <c:idx val="73"/>
              <c:tx>
                <c:rich>
                  <a:bodyPr/>
                  <a:lstStyle/>
                  <a:p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E4E6-4609-818B-FE72BD4BC4EC}"/>
                </c:ext>
              </c:extLst>
            </c:dLbl>
            <c:dLbl>
              <c:idx val="74"/>
              <c:tx>
                <c:rich>
                  <a:bodyPr/>
                  <a:lstStyle/>
                  <a:p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E4E6-4609-818B-FE72BD4BC4EC}"/>
                </c:ext>
              </c:extLst>
            </c:dLbl>
            <c:dLbl>
              <c:idx val="75"/>
              <c:tx>
                <c:rich>
                  <a:bodyPr/>
                  <a:lstStyle/>
                  <a:p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E4E6-4609-818B-FE72BD4BC4EC}"/>
                </c:ext>
              </c:extLst>
            </c:dLbl>
            <c:dLbl>
              <c:idx val="76"/>
              <c:tx>
                <c:rich>
                  <a:bodyPr/>
                  <a:lstStyle/>
                  <a:p>
                    <a:endParaRPr lang="ar-SA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E4E6-4609-818B-FE72BD4BC4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ar-SA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'Methods Priority Calculation'!$C$2:$C$78</c:f>
              <c:numCache>
                <c:formatCode>General</c:formatCode>
                <c:ptCount val="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xVal>
          <c:yVal>
            <c:numRef>
              <c:f>'Methods Priority Calculation'!$B$2:$B$78</c:f>
              <c:numCache>
                <c:formatCode>General</c:formatCode>
                <c:ptCount val="7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'Methods Priority Calculation'!$A$2:$A$38</c15:f>
                <c15:dlblRangeCache>
                  <c:ptCount val="37"/>
                  <c:pt idx="0">
                    <c:v>#CALC!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E4E6-4609-818B-FE72BD4BC4E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029713320"/>
        <c:axId val="1029716200"/>
      </c:scatterChart>
      <c:valAx>
        <c:axId val="1029713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Effort/Complexity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029716200"/>
        <c:crosses val="autoZero"/>
        <c:crossBetween val="midCat"/>
      </c:valAx>
      <c:valAx>
        <c:axId val="1029716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Use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ar-S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ar-SA"/>
          </a:p>
        </c:txPr>
        <c:crossAx val="1029713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ar-S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182880</xdr:colOff>
      <xdr:row>0</xdr:row>
      <xdr:rowOff>464820</xdr:rowOff>
    </xdr:from>
    <xdr:to>
      <xdr:col>14</xdr:col>
      <xdr:colOff>388620</xdr:colOff>
      <xdr:row>23</xdr:row>
      <xdr:rowOff>7620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ECA4913-1D28-BF74-C8C7-782AC581F3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D337E-69C5-4532-897B-BD2E5E99E5AB}">
  <dimension ref="A1:H295"/>
  <sheetViews>
    <sheetView zoomScale="90" zoomScaleNormal="90" workbookViewId="0">
      <pane ySplit="4" topLeftCell="A5" activePane="bottomLeft" state="frozen"/>
      <selection pane="bottomLeft" activeCell="A10" sqref="A10"/>
    </sheetView>
  </sheetViews>
  <sheetFormatPr defaultRowHeight="13.2"/>
  <cols>
    <col min="1" max="1" width="42.8984375" style="3" customWidth="1"/>
    <col min="2" max="7" width="12.09765625" style="3" customWidth="1"/>
    <col min="8" max="8" width="33.296875" style="4" customWidth="1"/>
    <col min="9" max="16384" width="8.796875" style="2"/>
  </cols>
  <sheetData>
    <row r="1" spans="1:8" ht="136.19999999999999" customHeight="1">
      <c r="A1" s="28" t="s">
        <v>20</v>
      </c>
      <c r="B1" s="28"/>
      <c r="C1" s="28"/>
      <c r="D1" s="28"/>
      <c r="E1" s="28"/>
      <c r="F1" s="28" t="s">
        <v>2</v>
      </c>
      <c r="G1" s="28"/>
      <c r="H1" s="28"/>
    </row>
    <row r="2" spans="1:8" ht="15.6">
      <c r="A2" s="23" t="s">
        <v>1</v>
      </c>
      <c r="B2" s="24"/>
      <c r="C2" s="24"/>
      <c r="D2" s="24"/>
      <c r="E2" s="24"/>
      <c r="F2" s="24"/>
      <c r="G2" s="24"/>
      <c r="H2" s="24"/>
    </row>
    <row r="3" spans="1:8" ht="15.6" customHeight="1">
      <c r="A3" s="26" t="s">
        <v>3</v>
      </c>
      <c r="B3" s="25" t="s">
        <v>8</v>
      </c>
      <c r="C3" s="25"/>
      <c r="D3" s="25"/>
      <c r="E3" s="25"/>
      <c r="F3" s="25"/>
      <c r="G3" s="25"/>
      <c r="H3" s="25"/>
    </row>
    <row r="4" spans="1:8" ht="36" customHeight="1">
      <c r="A4" s="27"/>
      <c r="B4" s="7" t="s">
        <v>4</v>
      </c>
      <c r="C4" s="7" t="s">
        <v>0</v>
      </c>
      <c r="D4" s="7" t="s">
        <v>5</v>
      </c>
      <c r="E4" s="7" t="s">
        <v>6</v>
      </c>
      <c r="F4" s="7" t="s">
        <v>7</v>
      </c>
      <c r="G4" s="8" t="s">
        <v>9</v>
      </c>
      <c r="H4" s="8" t="s">
        <v>10</v>
      </c>
    </row>
    <row r="5" spans="1:8" ht="13.8">
      <c r="A5" s="21"/>
      <c r="B5" s="18"/>
      <c r="C5" s="18"/>
      <c r="D5" s="18"/>
      <c r="E5" s="18"/>
      <c r="F5" s="18"/>
      <c r="G5" s="3">
        <f>SUM(B5:F5)/5</f>
        <v>0</v>
      </c>
      <c r="H5" s="4" t="str">
        <f>IF(AND(G5&gt;=1, G5&lt;2), "Very Low Use Value",IF(AND(G5&gt;=2, G5&lt;3),"Low Use Value",IF(AND(G5&gt;=3, G5&lt;4),"Moderate Use Value",IF(AND(G5&gt;=4, G5&lt;5),"High Use Value",IF(G5&gt;=5,"Very High Use Value","Invalid Input")))))</f>
        <v>Invalid Input</v>
      </c>
    </row>
    <row r="6" spans="1:8" ht="13.8">
      <c r="A6" s="21"/>
      <c r="B6" s="18"/>
      <c r="C6" s="18"/>
      <c r="D6" s="18"/>
      <c r="E6" s="18"/>
      <c r="F6" s="18"/>
      <c r="G6" s="3">
        <f t="shared" ref="G6:G35" si="0">SUM(B6:F6)/5</f>
        <v>0</v>
      </c>
      <c r="H6" s="4" t="str">
        <f t="shared" ref="H6:H35" si="1">IF(AND(G6&gt;=1, G6&lt;2), "Very Low Use Value",IF(AND(G6&gt;=2, G6&lt;3),"Low Use Value",IF(AND(G6&gt;=3, G6&lt;4),"Moderate Use Value",IF(AND(G6&gt;=4, G6&lt;5),"High Use Value",IF(G6&gt;=5,"Very High Use Value","Invalid Input")))))</f>
        <v>Invalid Input</v>
      </c>
    </row>
    <row r="7" spans="1:8" ht="13.8">
      <c r="A7" s="22"/>
      <c r="B7" s="18"/>
      <c r="C7" s="18"/>
      <c r="D7" s="18"/>
      <c r="E7" s="18"/>
      <c r="F7" s="18"/>
      <c r="G7" s="3">
        <f t="shared" si="0"/>
        <v>0</v>
      </c>
      <c r="H7" s="4" t="str">
        <f t="shared" si="1"/>
        <v>Invalid Input</v>
      </c>
    </row>
    <row r="8" spans="1:8" ht="13.8">
      <c r="A8" s="22"/>
      <c r="B8" s="18"/>
      <c r="C8" s="18"/>
      <c r="D8" s="18"/>
      <c r="E8" s="18"/>
      <c r="F8" s="18"/>
      <c r="G8" s="3">
        <f t="shared" si="0"/>
        <v>0</v>
      </c>
      <c r="H8" s="4" t="str">
        <f t="shared" si="1"/>
        <v>Invalid Input</v>
      </c>
    </row>
    <row r="9" spans="1:8" ht="13.8">
      <c r="A9" s="22"/>
      <c r="B9" s="18"/>
      <c r="C9" s="18"/>
      <c r="D9" s="18"/>
      <c r="E9" s="18"/>
      <c r="F9" s="18"/>
      <c r="G9" s="3">
        <f t="shared" si="0"/>
        <v>0</v>
      </c>
      <c r="H9" s="4" t="str">
        <f t="shared" si="1"/>
        <v>Invalid Input</v>
      </c>
    </row>
    <row r="10" spans="1:8" ht="13.8">
      <c r="A10" s="22"/>
      <c r="B10" s="18"/>
      <c r="C10" s="18"/>
      <c r="D10" s="18"/>
      <c r="E10" s="18"/>
      <c r="F10" s="18"/>
      <c r="G10" s="3">
        <f t="shared" si="0"/>
        <v>0</v>
      </c>
      <c r="H10" s="4" t="str">
        <f t="shared" si="1"/>
        <v>Invalid Input</v>
      </c>
    </row>
    <row r="11" spans="1:8" ht="13.8">
      <c r="A11" s="22"/>
      <c r="B11" s="18"/>
      <c r="C11" s="18"/>
      <c r="D11" s="18"/>
      <c r="E11" s="18"/>
      <c r="F11" s="18"/>
      <c r="G11" s="3">
        <f t="shared" si="0"/>
        <v>0</v>
      </c>
      <c r="H11" s="4" t="str">
        <f t="shared" si="1"/>
        <v>Invalid Input</v>
      </c>
    </row>
    <row r="12" spans="1:8" ht="13.8">
      <c r="A12" s="22"/>
      <c r="B12" s="18"/>
      <c r="C12" s="18"/>
      <c r="D12" s="18"/>
      <c r="E12" s="18"/>
      <c r="F12" s="18"/>
      <c r="G12" s="3">
        <f t="shared" si="0"/>
        <v>0</v>
      </c>
      <c r="H12" s="4" t="str">
        <f t="shared" si="1"/>
        <v>Invalid Input</v>
      </c>
    </row>
    <row r="13" spans="1:8" ht="13.8">
      <c r="A13" s="22"/>
      <c r="B13" s="18"/>
      <c r="C13" s="18"/>
      <c r="D13" s="18"/>
      <c r="E13" s="18"/>
      <c r="F13" s="18"/>
      <c r="G13" s="3">
        <f t="shared" si="0"/>
        <v>0</v>
      </c>
      <c r="H13" s="4" t="str">
        <f t="shared" si="1"/>
        <v>Invalid Input</v>
      </c>
    </row>
    <row r="14" spans="1:8" ht="13.8">
      <c r="A14" s="22"/>
      <c r="B14" s="18"/>
      <c r="C14" s="18"/>
      <c r="D14" s="18"/>
      <c r="E14" s="18"/>
      <c r="F14" s="18"/>
      <c r="G14" s="3">
        <f t="shared" si="0"/>
        <v>0</v>
      </c>
      <c r="H14" s="4" t="str">
        <f t="shared" si="1"/>
        <v>Invalid Input</v>
      </c>
    </row>
    <row r="15" spans="1:8" ht="13.8">
      <c r="A15" s="22"/>
      <c r="B15" s="18"/>
      <c r="C15" s="18"/>
      <c r="D15" s="18"/>
      <c r="E15" s="18"/>
      <c r="F15" s="18"/>
      <c r="G15" s="3">
        <f t="shared" si="0"/>
        <v>0</v>
      </c>
      <c r="H15" s="4" t="str">
        <f t="shared" si="1"/>
        <v>Invalid Input</v>
      </c>
    </row>
    <row r="16" spans="1:8">
      <c r="A16" s="20"/>
      <c r="B16" s="18"/>
      <c r="C16" s="18"/>
      <c r="D16" s="18"/>
      <c r="E16" s="18"/>
      <c r="F16" s="18"/>
      <c r="G16" s="3">
        <f t="shared" si="0"/>
        <v>0</v>
      </c>
      <c r="H16" s="4" t="str">
        <f t="shared" si="1"/>
        <v>Invalid Input</v>
      </c>
    </row>
    <row r="17" spans="1:8">
      <c r="A17" s="20"/>
      <c r="B17" s="18"/>
      <c r="C17" s="18"/>
      <c r="D17" s="18"/>
      <c r="E17" s="18"/>
      <c r="F17" s="18"/>
      <c r="G17" s="3">
        <f t="shared" si="0"/>
        <v>0</v>
      </c>
      <c r="H17" s="4" t="str">
        <f t="shared" si="1"/>
        <v>Invalid Input</v>
      </c>
    </row>
    <row r="18" spans="1:8">
      <c r="A18" s="20"/>
      <c r="B18" s="18"/>
      <c r="C18" s="18"/>
      <c r="D18" s="18"/>
      <c r="E18" s="18"/>
      <c r="F18" s="18"/>
      <c r="G18" s="3">
        <f t="shared" si="0"/>
        <v>0</v>
      </c>
      <c r="H18" s="4" t="str">
        <f t="shared" si="1"/>
        <v>Invalid Input</v>
      </c>
    </row>
    <row r="19" spans="1:8">
      <c r="A19" s="20"/>
      <c r="B19" s="18"/>
      <c r="C19" s="18"/>
      <c r="D19" s="18"/>
      <c r="E19" s="18"/>
      <c r="F19" s="18"/>
      <c r="G19" s="3">
        <f t="shared" si="0"/>
        <v>0</v>
      </c>
      <c r="H19" s="4" t="str">
        <f t="shared" si="1"/>
        <v>Invalid Input</v>
      </c>
    </row>
    <row r="20" spans="1:8">
      <c r="A20" s="20"/>
      <c r="B20" s="18"/>
      <c r="C20" s="18"/>
      <c r="D20" s="18"/>
      <c r="E20" s="18"/>
      <c r="F20" s="18"/>
      <c r="G20" s="3">
        <f t="shared" si="0"/>
        <v>0</v>
      </c>
      <c r="H20" s="4" t="str">
        <f t="shared" si="1"/>
        <v>Invalid Input</v>
      </c>
    </row>
    <row r="21" spans="1:8">
      <c r="A21" s="20"/>
      <c r="B21" s="18"/>
      <c r="C21" s="18"/>
      <c r="D21" s="18"/>
      <c r="E21" s="18"/>
      <c r="F21" s="18"/>
      <c r="G21" s="3">
        <f t="shared" si="0"/>
        <v>0</v>
      </c>
      <c r="H21" s="4" t="str">
        <f t="shared" si="1"/>
        <v>Invalid Input</v>
      </c>
    </row>
    <row r="22" spans="1:8">
      <c r="A22" s="20"/>
      <c r="B22" s="18"/>
      <c r="C22" s="18"/>
      <c r="D22" s="18"/>
      <c r="E22" s="18"/>
      <c r="F22" s="18"/>
      <c r="G22" s="3">
        <f t="shared" si="0"/>
        <v>0</v>
      </c>
      <c r="H22" s="4" t="str">
        <f t="shared" si="1"/>
        <v>Invalid Input</v>
      </c>
    </row>
    <row r="23" spans="1:8">
      <c r="A23" s="20"/>
      <c r="B23" s="18"/>
      <c r="C23" s="18"/>
      <c r="D23" s="18"/>
      <c r="E23" s="18"/>
      <c r="F23" s="18"/>
      <c r="G23" s="3">
        <f t="shared" si="0"/>
        <v>0</v>
      </c>
      <c r="H23" s="4" t="str">
        <f t="shared" si="1"/>
        <v>Invalid Input</v>
      </c>
    </row>
    <row r="24" spans="1:8">
      <c r="A24" s="20"/>
      <c r="B24" s="18"/>
      <c r="C24" s="18"/>
      <c r="D24" s="18"/>
      <c r="E24" s="18"/>
      <c r="F24" s="18"/>
      <c r="G24" s="3">
        <f t="shared" si="0"/>
        <v>0</v>
      </c>
      <c r="H24" s="4" t="str">
        <f t="shared" si="1"/>
        <v>Invalid Input</v>
      </c>
    </row>
    <row r="25" spans="1:8">
      <c r="A25" s="20"/>
      <c r="B25" s="18"/>
      <c r="C25" s="18"/>
      <c r="D25" s="18"/>
      <c r="E25" s="18"/>
      <c r="F25" s="18"/>
      <c r="G25" s="3">
        <f t="shared" si="0"/>
        <v>0</v>
      </c>
      <c r="H25" s="4" t="str">
        <f t="shared" si="1"/>
        <v>Invalid Input</v>
      </c>
    </row>
    <row r="26" spans="1:8">
      <c r="A26" s="20"/>
      <c r="B26" s="18"/>
      <c r="C26" s="18"/>
      <c r="D26" s="18"/>
      <c r="E26" s="18"/>
      <c r="F26" s="18"/>
      <c r="G26" s="3">
        <f t="shared" si="0"/>
        <v>0</v>
      </c>
      <c r="H26" s="4" t="str">
        <f t="shared" si="1"/>
        <v>Invalid Input</v>
      </c>
    </row>
    <row r="27" spans="1:8">
      <c r="A27" s="20"/>
      <c r="B27" s="18"/>
      <c r="C27" s="18"/>
      <c r="D27" s="18"/>
      <c r="E27" s="18"/>
      <c r="F27" s="18"/>
      <c r="G27" s="3">
        <f t="shared" si="0"/>
        <v>0</v>
      </c>
      <c r="H27" s="4" t="str">
        <f t="shared" si="1"/>
        <v>Invalid Input</v>
      </c>
    </row>
    <row r="28" spans="1:8">
      <c r="A28" s="20"/>
      <c r="B28" s="18"/>
      <c r="C28" s="18"/>
      <c r="D28" s="18"/>
      <c r="E28" s="18"/>
      <c r="F28" s="18"/>
      <c r="G28" s="3">
        <f t="shared" si="0"/>
        <v>0</v>
      </c>
      <c r="H28" s="4" t="str">
        <f t="shared" si="1"/>
        <v>Invalid Input</v>
      </c>
    </row>
    <row r="29" spans="1:8">
      <c r="A29" s="20"/>
      <c r="B29" s="18"/>
      <c r="C29" s="18"/>
      <c r="D29" s="18"/>
      <c r="E29" s="18"/>
      <c r="F29" s="18"/>
      <c r="G29" s="3">
        <f t="shared" si="0"/>
        <v>0</v>
      </c>
      <c r="H29" s="4" t="str">
        <f t="shared" si="1"/>
        <v>Invalid Input</v>
      </c>
    </row>
    <row r="30" spans="1:8">
      <c r="A30" s="20"/>
      <c r="B30" s="18"/>
      <c r="C30" s="18"/>
      <c r="D30" s="18"/>
      <c r="E30" s="18"/>
      <c r="F30" s="18"/>
      <c r="G30" s="3">
        <f t="shared" si="0"/>
        <v>0</v>
      </c>
      <c r="H30" s="4" t="str">
        <f t="shared" si="1"/>
        <v>Invalid Input</v>
      </c>
    </row>
    <row r="31" spans="1:8">
      <c r="A31" s="20"/>
      <c r="B31" s="18"/>
      <c r="C31" s="18"/>
      <c r="D31" s="18"/>
      <c r="E31" s="18"/>
      <c r="F31" s="18"/>
      <c r="G31" s="3">
        <f t="shared" si="0"/>
        <v>0</v>
      </c>
      <c r="H31" s="4" t="str">
        <f t="shared" si="1"/>
        <v>Invalid Input</v>
      </c>
    </row>
    <row r="32" spans="1:8">
      <c r="A32" s="20"/>
      <c r="B32" s="18"/>
      <c r="C32" s="18"/>
      <c r="D32" s="18"/>
      <c r="E32" s="18"/>
      <c r="F32" s="18"/>
      <c r="G32" s="3">
        <f t="shared" si="0"/>
        <v>0</v>
      </c>
      <c r="H32" s="4" t="str">
        <f t="shared" si="1"/>
        <v>Invalid Input</v>
      </c>
    </row>
    <row r="33" spans="1:8">
      <c r="A33" s="20"/>
      <c r="B33" s="18"/>
      <c r="C33" s="18"/>
      <c r="D33" s="18"/>
      <c r="E33" s="18"/>
      <c r="F33" s="18"/>
      <c r="G33" s="3">
        <f t="shared" si="0"/>
        <v>0</v>
      </c>
      <c r="H33" s="4" t="str">
        <f t="shared" si="1"/>
        <v>Invalid Input</v>
      </c>
    </row>
    <row r="34" spans="1:8">
      <c r="A34" s="20"/>
      <c r="B34" s="18"/>
      <c r="C34" s="18"/>
      <c r="D34" s="18"/>
      <c r="E34" s="18"/>
      <c r="F34" s="18"/>
      <c r="G34" s="3">
        <f t="shared" si="0"/>
        <v>0</v>
      </c>
      <c r="H34" s="4" t="str">
        <f t="shared" si="1"/>
        <v>Invalid Input</v>
      </c>
    </row>
    <row r="35" spans="1:8">
      <c r="A35" s="20"/>
      <c r="B35" s="18"/>
      <c r="C35" s="18"/>
      <c r="D35" s="18"/>
      <c r="E35" s="18"/>
      <c r="F35" s="18"/>
      <c r="G35" s="3">
        <f t="shared" si="0"/>
        <v>0</v>
      </c>
      <c r="H35" s="4" t="str">
        <f t="shared" si="1"/>
        <v>Invalid Input</v>
      </c>
    </row>
    <row r="36" spans="1:8">
      <c r="A36" s="19"/>
      <c r="B36" s="19"/>
      <c r="C36" s="19"/>
      <c r="D36" s="19"/>
      <c r="E36" s="19"/>
      <c r="F36" s="19"/>
      <c r="G36" s="9"/>
      <c r="H36" s="10"/>
    </row>
    <row r="37" spans="1:8">
      <c r="A37" s="19"/>
      <c r="B37" s="19"/>
      <c r="C37" s="19"/>
      <c r="D37" s="19"/>
      <c r="E37" s="19"/>
      <c r="F37" s="19"/>
      <c r="G37" s="9"/>
      <c r="H37" s="10"/>
    </row>
    <row r="38" spans="1:8">
      <c r="A38" s="19"/>
      <c r="B38" s="19"/>
      <c r="C38" s="19"/>
      <c r="D38" s="19"/>
      <c r="E38" s="19"/>
      <c r="F38" s="19"/>
      <c r="G38" s="9"/>
      <c r="H38" s="10"/>
    </row>
    <row r="39" spans="1:8">
      <c r="A39" s="19"/>
      <c r="B39" s="19"/>
      <c r="C39" s="19"/>
      <c r="D39" s="19"/>
      <c r="E39" s="19"/>
      <c r="F39" s="19"/>
      <c r="G39" s="9"/>
      <c r="H39" s="10"/>
    </row>
    <row r="40" spans="1:8">
      <c r="A40" s="19"/>
      <c r="B40" s="19"/>
      <c r="C40" s="19"/>
      <c r="D40" s="19"/>
      <c r="E40" s="19"/>
      <c r="F40" s="19"/>
      <c r="G40" s="9"/>
      <c r="H40" s="10"/>
    </row>
    <row r="41" spans="1:8">
      <c r="A41" s="19"/>
      <c r="B41" s="19"/>
      <c r="C41" s="19"/>
      <c r="D41" s="19"/>
      <c r="E41" s="19"/>
      <c r="F41" s="19"/>
      <c r="G41" s="9"/>
      <c r="H41" s="10"/>
    </row>
    <row r="42" spans="1:8">
      <c r="A42" s="19"/>
      <c r="B42" s="19"/>
      <c r="C42" s="19"/>
      <c r="D42" s="19"/>
      <c r="E42" s="19"/>
      <c r="F42" s="19"/>
      <c r="G42" s="9"/>
      <c r="H42" s="10"/>
    </row>
    <row r="43" spans="1:8">
      <c r="A43" s="19"/>
      <c r="B43" s="19"/>
      <c r="C43" s="19"/>
      <c r="D43" s="19"/>
      <c r="E43" s="19"/>
      <c r="F43" s="19"/>
      <c r="G43" s="9"/>
      <c r="H43" s="10"/>
    </row>
    <row r="44" spans="1:8">
      <c r="A44" s="19"/>
      <c r="B44" s="19"/>
      <c r="C44" s="19"/>
      <c r="D44" s="19"/>
      <c r="E44" s="19"/>
      <c r="F44" s="19"/>
      <c r="G44" s="9"/>
      <c r="H44" s="10"/>
    </row>
    <row r="45" spans="1:8">
      <c r="A45" s="19"/>
      <c r="B45" s="19"/>
      <c r="C45" s="19"/>
      <c r="D45" s="19"/>
      <c r="E45" s="19"/>
      <c r="F45" s="19"/>
      <c r="G45" s="9"/>
      <c r="H45" s="10"/>
    </row>
    <row r="46" spans="1:8">
      <c r="A46" s="19"/>
      <c r="B46" s="19"/>
      <c r="C46" s="19"/>
      <c r="D46" s="19"/>
      <c r="E46" s="19"/>
      <c r="F46" s="19"/>
      <c r="G46" s="9"/>
      <c r="H46" s="10"/>
    </row>
    <row r="47" spans="1:8">
      <c r="A47" s="19"/>
      <c r="B47" s="19"/>
      <c r="C47" s="19"/>
      <c r="D47" s="19"/>
      <c r="E47" s="19"/>
      <c r="F47" s="19"/>
      <c r="G47" s="9"/>
      <c r="H47" s="10"/>
    </row>
    <row r="48" spans="1:8">
      <c r="A48" s="19"/>
      <c r="B48" s="19"/>
      <c r="C48" s="19"/>
      <c r="D48" s="19"/>
      <c r="E48" s="19"/>
      <c r="F48" s="19"/>
      <c r="G48" s="9"/>
      <c r="H48" s="10"/>
    </row>
    <row r="49" spans="1:8">
      <c r="A49" s="19"/>
      <c r="B49" s="19"/>
      <c r="C49" s="19"/>
      <c r="D49" s="19"/>
      <c r="E49" s="19"/>
      <c r="F49" s="19"/>
      <c r="G49" s="9"/>
      <c r="H49" s="10"/>
    </row>
    <row r="50" spans="1:8">
      <c r="A50" s="19"/>
      <c r="B50" s="19"/>
      <c r="C50" s="19"/>
      <c r="D50" s="19"/>
      <c r="E50" s="19"/>
      <c r="F50" s="19"/>
      <c r="G50" s="9"/>
      <c r="H50" s="10"/>
    </row>
    <row r="51" spans="1:8">
      <c r="A51" s="19"/>
      <c r="B51" s="19"/>
      <c r="C51" s="19"/>
      <c r="D51" s="19"/>
      <c r="E51" s="19"/>
      <c r="F51" s="19"/>
      <c r="G51" s="9"/>
      <c r="H51" s="10"/>
    </row>
    <row r="52" spans="1:8">
      <c r="A52" s="19"/>
      <c r="B52" s="19"/>
      <c r="C52" s="19"/>
      <c r="D52" s="19"/>
      <c r="E52" s="19"/>
      <c r="F52" s="19"/>
      <c r="G52" s="9"/>
      <c r="H52" s="10"/>
    </row>
    <row r="53" spans="1:8">
      <c r="A53" s="19"/>
      <c r="B53" s="19"/>
      <c r="C53" s="19"/>
      <c r="D53" s="19"/>
      <c r="E53" s="19"/>
      <c r="F53" s="19"/>
      <c r="G53" s="9"/>
      <c r="H53" s="10"/>
    </row>
    <row r="54" spans="1:8">
      <c r="A54" s="19"/>
      <c r="B54" s="19"/>
      <c r="C54" s="19"/>
      <c r="D54" s="19"/>
      <c r="E54" s="19"/>
      <c r="F54" s="19"/>
      <c r="G54" s="9"/>
      <c r="H54" s="10"/>
    </row>
    <row r="55" spans="1:8">
      <c r="A55" s="19"/>
      <c r="B55" s="19"/>
      <c r="C55" s="19"/>
      <c r="D55" s="19"/>
      <c r="E55" s="19"/>
      <c r="F55" s="19"/>
      <c r="G55" s="9"/>
      <c r="H55" s="10"/>
    </row>
    <row r="56" spans="1:8">
      <c r="A56" s="19"/>
      <c r="B56" s="19"/>
      <c r="C56" s="19"/>
      <c r="D56" s="19"/>
      <c r="E56" s="19"/>
      <c r="F56" s="19"/>
      <c r="G56" s="9"/>
      <c r="H56" s="10"/>
    </row>
    <row r="57" spans="1:8">
      <c r="A57" s="19"/>
      <c r="B57" s="19"/>
      <c r="C57" s="19"/>
      <c r="D57" s="19"/>
      <c r="E57" s="19"/>
      <c r="F57" s="19"/>
      <c r="G57" s="9"/>
      <c r="H57" s="10"/>
    </row>
    <row r="58" spans="1:8">
      <c r="A58" s="19"/>
      <c r="B58" s="19"/>
      <c r="C58" s="19"/>
      <c r="D58" s="19"/>
      <c r="E58" s="19"/>
      <c r="F58" s="19"/>
      <c r="G58" s="9"/>
      <c r="H58" s="10"/>
    </row>
    <row r="59" spans="1:8">
      <c r="A59" s="19"/>
      <c r="B59" s="19"/>
      <c r="C59" s="19"/>
      <c r="D59" s="19"/>
      <c r="E59" s="19"/>
      <c r="F59" s="19"/>
      <c r="G59" s="9"/>
      <c r="H59" s="10"/>
    </row>
    <row r="60" spans="1:8">
      <c r="A60" s="19"/>
      <c r="B60" s="19"/>
      <c r="C60" s="19"/>
      <c r="D60" s="19"/>
      <c r="E60" s="19"/>
      <c r="F60" s="19"/>
      <c r="G60" s="9"/>
      <c r="H60" s="10"/>
    </row>
    <row r="61" spans="1:8">
      <c r="A61" s="19"/>
      <c r="B61" s="19"/>
      <c r="C61" s="19"/>
      <c r="D61" s="19"/>
      <c r="E61" s="19"/>
      <c r="F61" s="19"/>
      <c r="G61" s="9"/>
      <c r="H61" s="10"/>
    </row>
    <row r="62" spans="1:8">
      <c r="A62" s="19"/>
      <c r="B62" s="19"/>
      <c r="C62" s="19"/>
      <c r="D62" s="19"/>
      <c r="E62" s="19"/>
      <c r="F62" s="19"/>
      <c r="G62" s="9"/>
      <c r="H62" s="10"/>
    </row>
    <row r="63" spans="1:8">
      <c r="A63" s="19"/>
      <c r="B63" s="19"/>
      <c r="C63" s="19"/>
      <c r="D63" s="19"/>
      <c r="E63" s="19"/>
      <c r="F63" s="19"/>
      <c r="G63" s="9"/>
      <c r="H63" s="10"/>
    </row>
    <row r="64" spans="1:8">
      <c r="A64" s="19"/>
      <c r="B64" s="19"/>
      <c r="C64" s="19"/>
      <c r="D64" s="19"/>
      <c r="E64" s="19"/>
      <c r="F64" s="19"/>
      <c r="G64" s="9"/>
      <c r="H64" s="10"/>
    </row>
    <row r="65" spans="1:8">
      <c r="A65" s="19"/>
      <c r="B65" s="19"/>
      <c r="C65" s="19"/>
      <c r="D65" s="19"/>
      <c r="E65" s="19"/>
      <c r="F65" s="19"/>
      <c r="G65" s="9"/>
      <c r="H65" s="10"/>
    </row>
    <row r="66" spans="1:8">
      <c r="A66" s="19"/>
      <c r="B66" s="19"/>
      <c r="C66" s="19"/>
      <c r="D66" s="19"/>
      <c r="E66" s="19"/>
      <c r="F66" s="19"/>
      <c r="G66" s="9"/>
      <c r="H66" s="10"/>
    </row>
    <row r="67" spans="1:8">
      <c r="A67" s="19"/>
      <c r="B67" s="19"/>
      <c r="C67" s="19"/>
      <c r="D67" s="19"/>
      <c r="E67" s="19"/>
      <c r="F67" s="19"/>
      <c r="G67" s="9"/>
      <c r="H67" s="10"/>
    </row>
    <row r="68" spans="1:8">
      <c r="A68" s="19"/>
      <c r="B68" s="19"/>
      <c r="C68" s="19"/>
      <c r="D68" s="19"/>
      <c r="E68" s="19"/>
      <c r="F68" s="19"/>
      <c r="G68" s="9"/>
      <c r="H68" s="10"/>
    </row>
    <row r="69" spans="1:8">
      <c r="A69" s="19"/>
      <c r="B69" s="19"/>
      <c r="C69" s="19"/>
      <c r="D69" s="19"/>
      <c r="E69" s="19"/>
      <c r="F69" s="19"/>
      <c r="G69" s="9"/>
      <c r="H69" s="10"/>
    </row>
    <row r="70" spans="1:8">
      <c r="A70" s="19"/>
      <c r="B70" s="19"/>
      <c r="C70" s="19"/>
      <c r="D70" s="19"/>
      <c r="E70" s="19"/>
      <c r="F70" s="19"/>
      <c r="G70" s="9"/>
      <c r="H70" s="10"/>
    </row>
    <row r="71" spans="1:8">
      <c r="A71" s="19"/>
      <c r="B71" s="19"/>
      <c r="C71" s="19"/>
      <c r="D71" s="19"/>
      <c r="E71" s="19"/>
      <c r="F71" s="19"/>
      <c r="G71" s="9"/>
      <c r="H71" s="10"/>
    </row>
    <row r="72" spans="1:8">
      <c r="A72" s="19"/>
      <c r="B72" s="19"/>
      <c r="C72" s="19"/>
      <c r="D72" s="19"/>
      <c r="E72" s="19"/>
      <c r="F72" s="19"/>
      <c r="G72" s="9"/>
      <c r="H72" s="10"/>
    </row>
    <row r="73" spans="1:8">
      <c r="A73" s="19"/>
      <c r="B73" s="19"/>
      <c r="C73" s="19"/>
      <c r="D73" s="19"/>
      <c r="E73" s="19"/>
      <c r="F73" s="19"/>
      <c r="G73" s="9"/>
      <c r="H73" s="10"/>
    </row>
    <row r="74" spans="1:8">
      <c r="A74" s="19"/>
      <c r="B74" s="19"/>
      <c r="C74" s="19"/>
      <c r="D74" s="19"/>
      <c r="E74" s="19"/>
      <c r="F74" s="19"/>
      <c r="G74" s="9"/>
      <c r="H74" s="10"/>
    </row>
    <row r="75" spans="1:8">
      <c r="A75" s="19"/>
      <c r="B75" s="19"/>
      <c r="C75" s="19"/>
      <c r="D75" s="19"/>
      <c r="E75" s="19"/>
      <c r="F75" s="19"/>
      <c r="G75" s="9"/>
      <c r="H75" s="10"/>
    </row>
    <row r="76" spans="1:8">
      <c r="A76" s="19"/>
      <c r="B76" s="19"/>
      <c r="C76" s="19"/>
      <c r="D76" s="19"/>
      <c r="E76" s="19"/>
      <c r="F76" s="19"/>
      <c r="G76" s="9"/>
      <c r="H76" s="10"/>
    </row>
    <row r="77" spans="1:8">
      <c r="A77" s="19"/>
      <c r="B77" s="19"/>
      <c r="C77" s="19"/>
      <c r="D77" s="19"/>
      <c r="E77" s="19"/>
      <c r="F77" s="19"/>
      <c r="G77" s="9"/>
      <c r="H77" s="10"/>
    </row>
    <row r="78" spans="1:8">
      <c r="A78" s="19"/>
      <c r="B78" s="19"/>
      <c r="C78" s="19"/>
      <c r="D78" s="19"/>
      <c r="E78" s="19"/>
      <c r="F78" s="19"/>
      <c r="G78" s="9"/>
      <c r="H78" s="10"/>
    </row>
    <row r="79" spans="1:8">
      <c r="A79" s="19"/>
      <c r="B79" s="19"/>
      <c r="C79" s="19"/>
      <c r="D79" s="19"/>
      <c r="E79" s="19"/>
      <c r="F79" s="19"/>
      <c r="G79" s="9"/>
      <c r="H79" s="10"/>
    </row>
    <row r="80" spans="1:8">
      <c r="A80" s="19"/>
      <c r="B80" s="19"/>
      <c r="C80" s="19"/>
      <c r="D80" s="19"/>
      <c r="E80" s="19"/>
      <c r="F80" s="19"/>
      <c r="G80" s="9"/>
      <c r="H80" s="10"/>
    </row>
    <row r="81" spans="1:8">
      <c r="A81" s="19"/>
      <c r="B81" s="19"/>
      <c r="C81" s="19"/>
      <c r="D81" s="19"/>
      <c r="E81" s="19"/>
      <c r="F81" s="19"/>
      <c r="G81" s="9"/>
      <c r="H81" s="10"/>
    </row>
    <row r="82" spans="1:8">
      <c r="A82" s="19"/>
      <c r="B82" s="19"/>
      <c r="C82" s="19"/>
      <c r="D82" s="19"/>
      <c r="E82" s="19"/>
      <c r="F82" s="19"/>
      <c r="G82" s="9"/>
      <c r="H82" s="10"/>
    </row>
    <row r="83" spans="1:8">
      <c r="A83" s="19"/>
      <c r="B83" s="19"/>
      <c r="C83" s="19"/>
      <c r="D83" s="19"/>
      <c r="E83" s="19"/>
      <c r="F83" s="19"/>
      <c r="G83" s="9"/>
      <c r="H83" s="10"/>
    </row>
    <row r="84" spans="1:8">
      <c r="A84" s="19"/>
      <c r="B84" s="19"/>
      <c r="C84" s="19"/>
      <c r="D84" s="19"/>
      <c r="E84" s="19"/>
      <c r="F84" s="19"/>
      <c r="G84" s="9"/>
      <c r="H84" s="10"/>
    </row>
    <row r="85" spans="1:8">
      <c r="A85" s="19"/>
      <c r="B85" s="19"/>
      <c r="C85" s="19"/>
      <c r="D85" s="19"/>
      <c r="E85" s="19"/>
      <c r="F85" s="19"/>
      <c r="G85" s="9"/>
      <c r="H85" s="10"/>
    </row>
    <row r="86" spans="1:8">
      <c r="A86" s="19"/>
      <c r="B86" s="19"/>
      <c r="C86" s="19"/>
      <c r="D86" s="19"/>
      <c r="E86" s="19"/>
      <c r="F86" s="19"/>
      <c r="G86" s="9"/>
      <c r="H86" s="10"/>
    </row>
    <row r="87" spans="1:8">
      <c r="A87" s="19"/>
      <c r="B87" s="19"/>
      <c r="C87" s="19"/>
      <c r="D87" s="19"/>
      <c r="E87" s="19"/>
      <c r="F87" s="19"/>
      <c r="G87" s="9"/>
      <c r="H87" s="10"/>
    </row>
    <row r="88" spans="1:8">
      <c r="A88" s="19"/>
      <c r="B88" s="19"/>
      <c r="C88" s="19"/>
      <c r="D88" s="19"/>
      <c r="E88" s="19"/>
      <c r="F88" s="19"/>
      <c r="G88" s="9"/>
      <c r="H88" s="10"/>
    </row>
    <row r="89" spans="1:8">
      <c r="A89" s="19"/>
      <c r="B89" s="19"/>
      <c r="C89" s="19"/>
      <c r="D89" s="19"/>
      <c r="E89" s="19"/>
      <c r="F89" s="19"/>
      <c r="G89" s="9"/>
      <c r="H89" s="10"/>
    </row>
    <row r="90" spans="1:8">
      <c r="A90" s="19"/>
      <c r="B90" s="19"/>
      <c r="C90" s="19"/>
      <c r="D90" s="19"/>
      <c r="E90" s="19"/>
      <c r="F90" s="19"/>
      <c r="G90" s="9"/>
      <c r="H90" s="10"/>
    </row>
    <row r="91" spans="1:8">
      <c r="A91" s="19"/>
      <c r="B91" s="19"/>
      <c r="C91" s="19"/>
      <c r="D91" s="19"/>
      <c r="E91" s="19"/>
      <c r="F91" s="19"/>
      <c r="G91" s="9"/>
      <c r="H91" s="10"/>
    </row>
    <row r="92" spans="1:8">
      <c r="A92" s="19"/>
      <c r="B92" s="19"/>
      <c r="C92" s="19"/>
      <c r="D92" s="19"/>
      <c r="E92" s="19"/>
      <c r="F92" s="19"/>
      <c r="G92" s="9"/>
      <c r="H92" s="10"/>
    </row>
    <row r="93" spans="1:8">
      <c r="A93" s="19"/>
      <c r="B93" s="19"/>
      <c r="C93" s="19"/>
      <c r="D93" s="19"/>
      <c r="E93" s="19"/>
      <c r="F93" s="19"/>
      <c r="G93" s="9"/>
      <c r="H93" s="10"/>
    </row>
    <row r="94" spans="1:8">
      <c r="A94" s="19"/>
      <c r="B94" s="19"/>
      <c r="C94" s="19"/>
      <c r="D94" s="19"/>
      <c r="E94" s="19"/>
      <c r="F94" s="19"/>
      <c r="G94" s="9"/>
      <c r="H94" s="10"/>
    </row>
    <row r="95" spans="1:8">
      <c r="A95" s="19"/>
      <c r="B95" s="19"/>
      <c r="C95" s="19"/>
      <c r="D95" s="19"/>
      <c r="E95" s="19"/>
      <c r="F95" s="19"/>
      <c r="G95" s="9"/>
      <c r="H95" s="10"/>
    </row>
    <row r="96" spans="1:8">
      <c r="A96" s="19"/>
      <c r="B96" s="19"/>
      <c r="C96" s="19"/>
      <c r="D96" s="19"/>
      <c r="E96" s="19"/>
      <c r="F96" s="19"/>
      <c r="G96" s="9"/>
      <c r="H96" s="10"/>
    </row>
    <row r="97" spans="1:8">
      <c r="A97" s="19"/>
      <c r="B97" s="19"/>
      <c r="C97" s="19"/>
      <c r="D97" s="19"/>
      <c r="E97" s="19"/>
      <c r="F97" s="19"/>
      <c r="G97" s="9"/>
      <c r="H97" s="10"/>
    </row>
    <row r="98" spans="1:8">
      <c r="A98" s="19"/>
      <c r="B98" s="19"/>
      <c r="C98" s="19"/>
      <c r="D98" s="19"/>
      <c r="E98" s="19"/>
      <c r="F98" s="19"/>
      <c r="G98" s="9"/>
      <c r="H98" s="10"/>
    </row>
    <row r="99" spans="1:8">
      <c r="A99" s="19"/>
      <c r="B99" s="19"/>
      <c r="C99" s="19"/>
      <c r="D99" s="19"/>
      <c r="E99" s="19"/>
      <c r="F99" s="19"/>
      <c r="G99" s="9"/>
      <c r="H99" s="10"/>
    </row>
    <row r="100" spans="1:8">
      <c r="A100" s="19"/>
      <c r="B100" s="19"/>
      <c r="C100" s="19"/>
      <c r="D100" s="19"/>
      <c r="E100" s="19"/>
      <c r="F100" s="19"/>
      <c r="G100" s="9"/>
      <c r="H100" s="10"/>
    </row>
    <row r="101" spans="1:8">
      <c r="A101" s="19"/>
      <c r="B101" s="19"/>
      <c r="C101" s="19"/>
      <c r="D101" s="19"/>
      <c r="E101" s="19"/>
      <c r="F101" s="19"/>
      <c r="G101" s="9"/>
      <c r="H101" s="10"/>
    </row>
    <row r="102" spans="1:8">
      <c r="A102" s="19"/>
      <c r="B102" s="19"/>
      <c r="C102" s="19"/>
      <c r="D102" s="19"/>
      <c r="E102" s="19"/>
      <c r="F102" s="19"/>
      <c r="G102" s="9"/>
      <c r="H102" s="10"/>
    </row>
    <row r="103" spans="1:8">
      <c r="A103" s="19"/>
      <c r="B103" s="19"/>
      <c r="C103" s="19"/>
      <c r="D103" s="19"/>
      <c r="E103" s="19"/>
      <c r="F103" s="19"/>
      <c r="G103" s="9"/>
      <c r="H103" s="10"/>
    </row>
    <row r="104" spans="1:8">
      <c r="A104" s="19"/>
      <c r="B104" s="19"/>
      <c r="C104" s="19"/>
      <c r="D104" s="19"/>
      <c r="E104" s="19"/>
      <c r="F104" s="19"/>
      <c r="G104" s="9"/>
      <c r="H104" s="10"/>
    </row>
    <row r="105" spans="1:8">
      <c r="A105" s="19"/>
      <c r="B105" s="19"/>
      <c r="C105" s="19"/>
      <c r="D105" s="19"/>
      <c r="E105" s="19"/>
      <c r="F105" s="19"/>
      <c r="G105" s="9"/>
      <c r="H105" s="10"/>
    </row>
    <row r="106" spans="1:8">
      <c r="A106" s="19"/>
      <c r="B106" s="19"/>
      <c r="C106" s="19"/>
      <c r="D106" s="19"/>
      <c r="E106" s="19"/>
      <c r="F106" s="19"/>
      <c r="G106" s="9"/>
      <c r="H106" s="10"/>
    </row>
    <row r="107" spans="1:8">
      <c r="A107" s="19"/>
      <c r="B107" s="19"/>
      <c r="C107" s="19"/>
      <c r="D107" s="19"/>
      <c r="E107" s="19"/>
      <c r="F107" s="19"/>
      <c r="G107" s="9"/>
      <c r="H107" s="10"/>
    </row>
    <row r="108" spans="1:8">
      <c r="A108" s="19"/>
      <c r="B108" s="19"/>
      <c r="C108" s="19"/>
      <c r="D108" s="19"/>
      <c r="E108" s="19"/>
      <c r="F108" s="19"/>
      <c r="G108" s="9"/>
      <c r="H108" s="10"/>
    </row>
    <row r="109" spans="1:8">
      <c r="A109" s="19"/>
      <c r="B109" s="19"/>
      <c r="C109" s="19"/>
      <c r="D109" s="19"/>
      <c r="E109" s="19"/>
      <c r="F109" s="19"/>
      <c r="G109" s="9"/>
      <c r="H109" s="10"/>
    </row>
    <row r="110" spans="1:8">
      <c r="A110" s="19"/>
      <c r="B110" s="19"/>
      <c r="C110" s="19"/>
      <c r="D110" s="19"/>
      <c r="E110" s="19"/>
      <c r="F110" s="19"/>
      <c r="G110" s="9"/>
      <c r="H110" s="10"/>
    </row>
    <row r="111" spans="1:8">
      <c r="A111" s="19"/>
      <c r="B111" s="19"/>
      <c r="C111" s="19"/>
      <c r="D111" s="19"/>
      <c r="E111" s="19"/>
      <c r="F111" s="19"/>
      <c r="G111" s="9"/>
      <c r="H111" s="10"/>
    </row>
    <row r="112" spans="1:8">
      <c r="A112" s="19"/>
      <c r="B112" s="19"/>
      <c r="C112" s="19"/>
      <c r="D112" s="19"/>
      <c r="E112" s="19"/>
      <c r="F112" s="19"/>
      <c r="G112" s="9"/>
      <c r="H112" s="10"/>
    </row>
    <row r="113" spans="1:8">
      <c r="A113" s="19"/>
      <c r="B113" s="19"/>
      <c r="C113" s="19"/>
      <c r="D113" s="19"/>
      <c r="E113" s="19"/>
      <c r="F113" s="19"/>
      <c r="G113" s="9"/>
      <c r="H113" s="10"/>
    </row>
    <row r="114" spans="1:8">
      <c r="A114" s="19"/>
      <c r="B114" s="19"/>
      <c r="C114" s="19"/>
      <c r="D114" s="19"/>
      <c r="E114" s="19"/>
      <c r="F114" s="19"/>
      <c r="G114" s="9"/>
      <c r="H114" s="10"/>
    </row>
    <row r="115" spans="1:8">
      <c r="A115" s="19"/>
      <c r="B115" s="19"/>
      <c r="C115" s="19"/>
      <c r="D115" s="19"/>
      <c r="E115" s="19"/>
      <c r="F115" s="19"/>
      <c r="G115" s="9"/>
      <c r="H115" s="10"/>
    </row>
    <row r="116" spans="1:8">
      <c r="A116" s="19"/>
      <c r="B116" s="19"/>
      <c r="C116" s="19"/>
      <c r="D116" s="19"/>
      <c r="E116" s="19"/>
      <c r="F116" s="19"/>
      <c r="G116" s="9"/>
      <c r="H116" s="10"/>
    </row>
    <row r="117" spans="1:8">
      <c r="A117" s="19"/>
      <c r="B117" s="19"/>
      <c r="C117" s="19"/>
      <c r="D117" s="19"/>
      <c r="E117" s="19"/>
      <c r="F117" s="19"/>
      <c r="G117" s="9"/>
      <c r="H117" s="10"/>
    </row>
    <row r="118" spans="1:8">
      <c r="A118" s="19"/>
      <c r="B118" s="19"/>
      <c r="C118" s="19"/>
      <c r="D118" s="19"/>
      <c r="E118" s="19"/>
      <c r="F118" s="19"/>
      <c r="G118" s="9"/>
      <c r="H118" s="10"/>
    </row>
    <row r="119" spans="1:8">
      <c r="A119" s="19"/>
      <c r="B119" s="19"/>
      <c r="C119" s="19"/>
      <c r="D119" s="19"/>
      <c r="E119" s="19"/>
      <c r="F119" s="19"/>
      <c r="G119" s="9"/>
      <c r="H119" s="10"/>
    </row>
    <row r="120" spans="1:8">
      <c r="A120" s="19"/>
      <c r="B120" s="19"/>
      <c r="C120" s="19"/>
      <c r="D120" s="19"/>
      <c r="E120" s="19"/>
      <c r="F120" s="19"/>
      <c r="G120" s="9"/>
      <c r="H120" s="10"/>
    </row>
    <row r="121" spans="1:8">
      <c r="A121" s="19"/>
      <c r="B121" s="19"/>
      <c r="C121" s="19"/>
      <c r="D121" s="19"/>
      <c r="E121" s="19"/>
      <c r="F121" s="19"/>
      <c r="G121" s="9"/>
      <c r="H121" s="10"/>
    </row>
    <row r="122" spans="1:8">
      <c r="A122" s="19"/>
      <c r="B122" s="19"/>
      <c r="C122" s="19"/>
      <c r="D122" s="19"/>
      <c r="E122" s="19"/>
      <c r="F122" s="19"/>
      <c r="G122" s="9"/>
      <c r="H122" s="10"/>
    </row>
    <row r="123" spans="1:8">
      <c r="A123" s="19"/>
      <c r="B123" s="19"/>
      <c r="C123" s="19"/>
      <c r="D123" s="19"/>
      <c r="E123" s="19"/>
      <c r="F123" s="19"/>
      <c r="G123" s="9"/>
      <c r="H123" s="10"/>
    </row>
    <row r="124" spans="1:8">
      <c r="A124" s="19"/>
      <c r="B124" s="19"/>
      <c r="C124" s="19"/>
      <c r="D124" s="19"/>
      <c r="E124" s="19"/>
      <c r="F124" s="19"/>
      <c r="G124" s="9"/>
      <c r="H124" s="10"/>
    </row>
    <row r="125" spans="1:8">
      <c r="A125" s="19"/>
      <c r="B125" s="19"/>
      <c r="C125" s="19"/>
      <c r="D125" s="19"/>
      <c r="E125" s="19"/>
      <c r="F125" s="19"/>
      <c r="G125" s="9"/>
      <c r="H125" s="10"/>
    </row>
    <row r="126" spans="1:8">
      <c r="A126" s="19"/>
      <c r="B126" s="19"/>
      <c r="C126" s="19"/>
      <c r="D126" s="19"/>
      <c r="E126" s="19"/>
      <c r="F126" s="19"/>
      <c r="G126" s="9"/>
      <c r="H126" s="10"/>
    </row>
    <row r="127" spans="1:8">
      <c r="A127" s="19"/>
      <c r="B127" s="19"/>
      <c r="C127" s="19"/>
      <c r="D127" s="19"/>
      <c r="E127" s="19"/>
      <c r="F127" s="19"/>
      <c r="G127" s="9"/>
      <c r="H127" s="10"/>
    </row>
    <row r="128" spans="1:8">
      <c r="A128" s="19"/>
      <c r="B128" s="19"/>
      <c r="C128" s="19"/>
      <c r="D128" s="19"/>
      <c r="E128" s="19"/>
      <c r="F128" s="19"/>
      <c r="G128" s="9"/>
      <c r="H128" s="10"/>
    </row>
    <row r="129" spans="1:8">
      <c r="A129" s="19"/>
      <c r="B129" s="19"/>
      <c r="C129" s="19"/>
      <c r="D129" s="19"/>
      <c r="E129" s="19"/>
      <c r="F129" s="19"/>
      <c r="G129" s="9"/>
      <c r="H129" s="10"/>
    </row>
    <row r="130" spans="1:8">
      <c r="A130" s="19"/>
      <c r="B130" s="19"/>
      <c r="C130" s="19"/>
      <c r="D130" s="19"/>
      <c r="E130" s="19"/>
      <c r="F130" s="19"/>
      <c r="G130" s="9"/>
      <c r="H130" s="10"/>
    </row>
    <row r="131" spans="1:8">
      <c r="A131" s="19"/>
      <c r="B131" s="19"/>
      <c r="C131" s="19"/>
      <c r="D131" s="19"/>
      <c r="E131" s="19"/>
      <c r="F131" s="19"/>
      <c r="G131" s="9"/>
      <c r="H131" s="10"/>
    </row>
    <row r="132" spans="1:8">
      <c r="A132" s="19"/>
      <c r="B132" s="19"/>
      <c r="C132" s="19"/>
      <c r="D132" s="19"/>
      <c r="E132" s="19"/>
      <c r="F132" s="19"/>
      <c r="G132" s="9"/>
      <c r="H132" s="10"/>
    </row>
    <row r="133" spans="1:8">
      <c r="A133" s="19"/>
      <c r="B133" s="19"/>
      <c r="C133" s="19"/>
      <c r="D133" s="19"/>
      <c r="E133" s="19"/>
      <c r="F133" s="19"/>
      <c r="G133" s="9"/>
      <c r="H133" s="10"/>
    </row>
    <row r="134" spans="1:8">
      <c r="A134" s="19"/>
      <c r="B134" s="19"/>
      <c r="C134" s="19"/>
      <c r="D134" s="19"/>
      <c r="E134" s="19"/>
      <c r="F134" s="19"/>
      <c r="G134" s="9"/>
      <c r="H134" s="10"/>
    </row>
    <row r="135" spans="1:8">
      <c r="A135" s="19"/>
      <c r="B135" s="19"/>
      <c r="C135" s="19"/>
      <c r="D135" s="19"/>
      <c r="E135" s="19"/>
      <c r="F135" s="19"/>
      <c r="G135" s="9"/>
      <c r="H135" s="10"/>
    </row>
    <row r="136" spans="1:8">
      <c r="A136" s="19"/>
      <c r="B136" s="19"/>
      <c r="C136" s="19"/>
      <c r="D136" s="19"/>
      <c r="E136" s="19"/>
      <c r="F136" s="19"/>
      <c r="G136" s="9"/>
      <c r="H136" s="10"/>
    </row>
    <row r="137" spans="1:8">
      <c r="A137" s="19"/>
      <c r="B137" s="19"/>
      <c r="C137" s="19"/>
      <c r="D137" s="19"/>
      <c r="E137" s="19"/>
      <c r="F137" s="19"/>
      <c r="G137" s="9"/>
      <c r="H137" s="10"/>
    </row>
    <row r="138" spans="1:8">
      <c r="A138" s="19"/>
      <c r="B138" s="19"/>
      <c r="C138" s="19"/>
      <c r="D138" s="19"/>
      <c r="E138" s="19"/>
      <c r="F138" s="19"/>
      <c r="G138" s="9"/>
      <c r="H138" s="10"/>
    </row>
    <row r="139" spans="1:8">
      <c r="A139" s="19"/>
      <c r="B139" s="19"/>
      <c r="C139" s="19"/>
      <c r="D139" s="19"/>
      <c r="E139" s="19"/>
      <c r="F139" s="19"/>
      <c r="G139" s="9"/>
      <c r="H139" s="10"/>
    </row>
    <row r="140" spans="1:8">
      <c r="A140" s="19"/>
      <c r="B140" s="19"/>
      <c r="C140" s="19"/>
      <c r="D140" s="19"/>
      <c r="E140" s="19"/>
      <c r="F140" s="19"/>
      <c r="G140" s="9"/>
      <c r="H140" s="10"/>
    </row>
    <row r="141" spans="1:8">
      <c r="A141" s="19"/>
      <c r="B141" s="19"/>
      <c r="C141" s="19"/>
      <c r="D141" s="19"/>
      <c r="E141" s="19"/>
      <c r="F141" s="19"/>
      <c r="G141" s="9"/>
      <c r="H141" s="10"/>
    </row>
    <row r="142" spans="1:8">
      <c r="A142" s="19"/>
      <c r="B142" s="19"/>
      <c r="C142" s="19"/>
      <c r="D142" s="19"/>
      <c r="E142" s="19"/>
      <c r="F142" s="19"/>
      <c r="G142" s="9"/>
      <c r="H142" s="10"/>
    </row>
    <row r="143" spans="1:8">
      <c r="A143" s="19"/>
      <c r="B143" s="19"/>
      <c r="C143" s="19"/>
      <c r="D143" s="19"/>
      <c r="E143" s="19"/>
      <c r="F143" s="19"/>
      <c r="G143" s="9"/>
      <c r="H143" s="10"/>
    </row>
    <row r="144" spans="1:8">
      <c r="A144" s="19"/>
      <c r="B144" s="19"/>
      <c r="C144" s="19"/>
      <c r="D144" s="19"/>
      <c r="E144" s="19"/>
      <c r="F144" s="19"/>
      <c r="G144" s="9"/>
      <c r="H144" s="10"/>
    </row>
    <row r="145" spans="1:8">
      <c r="A145" s="19"/>
      <c r="B145" s="19"/>
      <c r="C145" s="19"/>
      <c r="D145" s="19"/>
      <c r="E145" s="19"/>
      <c r="F145" s="19"/>
      <c r="G145" s="9"/>
      <c r="H145" s="10"/>
    </row>
    <row r="146" spans="1:8">
      <c r="A146" s="19"/>
      <c r="B146" s="19"/>
      <c r="C146" s="19"/>
      <c r="D146" s="19"/>
      <c r="E146" s="19"/>
      <c r="F146" s="19"/>
      <c r="G146" s="9"/>
      <c r="H146" s="10"/>
    </row>
    <row r="147" spans="1:8">
      <c r="A147" s="19"/>
      <c r="B147" s="19"/>
      <c r="C147" s="19"/>
      <c r="D147" s="19"/>
      <c r="E147" s="19"/>
      <c r="F147" s="19"/>
      <c r="G147" s="9"/>
      <c r="H147" s="10"/>
    </row>
    <row r="148" spans="1:8">
      <c r="A148" s="19"/>
      <c r="B148" s="19"/>
      <c r="C148" s="19"/>
      <c r="D148" s="19"/>
      <c r="E148" s="19"/>
      <c r="F148" s="19"/>
      <c r="G148" s="9"/>
      <c r="H148" s="10"/>
    </row>
    <row r="149" spans="1:8">
      <c r="A149" s="19"/>
      <c r="B149" s="19"/>
      <c r="C149" s="19"/>
      <c r="D149" s="19"/>
      <c r="E149" s="19"/>
      <c r="F149" s="19"/>
      <c r="G149" s="9"/>
      <c r="H149" s="10"/>
    </row>
    <row r="150" spans="1:8">
      <c r="A150" s="19"/>
      <c r="B150" s="19"/>
      <c r="C150" s="19"/>
      <c r="D150" s="19"/>
      <c r="E150" s="19"/>
      <c r="F150" s="19"/>
      <c r="G150" s="9"/>
      <c r="H150" s="10"/>
    </row>
    <row r="151" spans="1:8">
      <c r="A151" s="19"/>
      <c r="B151" s="19"/>
      <c r="C151" s="19"/>
      <c r="D151" s="19"/>
      <c r="E151" s="19"/>
      <c r="F151" s="19"/>
      <c r="G151" s="9"/>
      <c r="H151" s="10"/>
    </row>
    <row r="152" spans="1:8">
      <c r="A152" s="19"/>
      <c r="B152" s="19"/>
      <c r="C152" s="19"/>
      <c r="D152" s="19"/>
      <c r="E152" s="19"/>
      <c r="F152" s="19"/>
      <c r="G152" s="9"/>
      <c r="H152" s="10"/>
    </row>
    <row r="153" spans="1:8">
      <c r="A153" s="19"/>
      <c r="B153" s="19"/>
      <c r="C153" s="19"/>
      <c r="D153" s="19"/>
      <c r="E153" s="19"/>
      <c r="F153" s="19"/>
      <c r="G153" s="9"/>
      <c r="H153" s="10"/>
    </row>
    <row r="154" spans="1:8">
      <c r="A154" s="19"/>
      <c r="B154" s="19"/>
      <c r="C154" s="19"/>
      <c r="D154" s="19"/>
      <c r="E154" s="19"/>
      <c r="F154" s="19"/>
      <c r="G154" s="9"/>
      <c r="H154" s="10"/>
    </row>
    <row r="155" spans="1:8">
      <c r="A155" s="19"/>
      <c r="B155" s="19"/>
      <c r="C155" s="19"/>
      <c r="D155" s="19"/>
      <c r="E155" s="19"/>
      <c r="F155" s="19"/>
      <c r="G155" s="9"/>
      <c r="H155" s="10"/>
    </row>
    <row r="156" spans="1:8">
      <c r="A156" s="19"/>
      <c r="B156" s="19"/>
      <c r="C156" s="19"/>
      <c r="D156" s="19"/>
      <c r="E156" s="19"/>
      <c r="F156" s="19"/>
      <c r="G156" s="9"/>
      <c r="H156" s="10"/>
    </row>
    <row r="157" spans="1:8">
      <c r="A157" s="19"/>
      <c r="B157" s="19"/>
      <c r="C157" s="19"/>
      <c r="D157" s="19"/>
      <c r="E157" s="19"/>
      <c r="F157" s="19"/>
      <c r="G157" s="9"/>
      <c r="H157" s="10"/>
    </row>
    <row r="158" spans="1:8">
      <c r="A158" s="19"/>
      <c r="B158" s="19"/>
      <c r="C158" s="19"/>
      <c r="D158" s="19"/>
      <c r="E158" s="19"/>
      <c r="F158" s="19"/>
      <c r="G158" s="9"/>
      <c r="H158" s="10"/>
    </row>
    <row r="159" spans="1:8">
      <c r="A159" s="19"/>
      <c r="B159" s="19"/>
      <c r="C159" s="19"/>
      <c r="D159" s="19"/>
      <c r="E159" s="19"/>
      <c r="F159" s="19"/>
      <c r="G159" s="9"/>
      <c r="H159" s="10"/>
    </row>
    <row r="160" spans="1:8">
      <c r="A160" s="19"/>
      <c r="B160" s="19"/>
      <c r="C160" s="19"/>
      <c r="D160" s="19"/>
      <c r="E160" s="19"/>
      <c r="F160" s="19"/>
      <c r="G160" s="9"/>
      <c r="H160" s="10"/>
    </row>
    <row r="161" spans="1:8">
      <c r="A161" s="19"/>
      <c r="B161" s="19"/>
      <c r="C161" s="19"/>
      <c r="D161" s="19"/>
      <c r="E161" s="19"/>
      <c r="F161" s="19"/>
      <c r="G161" s="9"/>
      <c r="H161" s="10"/>
    </row>
    <row r="162" spans="1:8">
      <c r="A162" s="19"/>
      <c r="B162" s="19"/>
      <c r="C162" s="19"/>
      <c r="D162" s="19"/>
      <c r="E162" s="19"/>
      <c r="F162" s="19"/>
      <c r="G162" s="9"/>
      <c r="H162" s="10"/>
    </row>
    <row r="163" spans="1:8">
      <c r="A163" s="19"/>
      <c r="B163" s="19"/>
      <c r="C163" s="19"/>
      <c r="D163" s="19"/>
      <c r="E163" s="19"/>
      <c r="F163" s="19"/>
      <c r="G163" s="9"/>
      <c r="H163" s="10"/>
    </row>
    <row r="164" spans="1:8">
      <c r="A164" s="19"/>
      <c r="B164" s="19"/>
      <c r="C164" s="19"/>
      <c r="D164" s="19"/>
      <c r="E164" s="19"/>
      <c r="F164" s="19"/>
      <c r="G164" s="9"/>
      <c r="H164" s="10"/>
    </row>
    <row r="165" spans="1:8">
      <c r="A165" s="19"/>
      <c r="B165" s="19"/>
      <c r="C165" s="19"/>
      <c r="D165" s="19"/>
      <c r="E165" s="19"/>
      <c r="F165" s="19"/>
      <c r="G165" s="9"/>
      <c r="H165" s="10"/>
    </row>
    <row r="166" spans="1:8">
      <c r="A166" s="19"/>
      <c r="B166" s="19"/>
      <c r="C166" s="19"/>
      <c r="D166" s="19"/>
      <c r="E166" s="19"/>
      <c r="F166" s="19"/>
      <c r="G166" s="9"/>
      <c r="H166" s="10"/>
    </row>
    <row r="167" spans="1:8">
      <c r="A167" s="19"/>
      <c r="B167" s="19"/>
      <c r="C167" s="19"/>
      <c r="D167" s="19"/>
      <c r="E167" s="19"/>
      <c r="F167" s="19"/>
      <c r="G167" s="9"/>
      <c r="H167" s="10"/>
    </row>
    <row r="168" spans="1:8">
      <c r="A168" s="19"/>
      <c r="B168" s="19"/>
      <c r="C168" s="19"/>
      <c r="D168" s="19"/>
      <c r="E168" s="19"/>
      <c r="F168" s="19"/>
      <c r="G168" s="9"/>
      <c r="H168" s="10"/>
    </row>
    <row r="169" spans="1:8">
      <c r="A169" s="19"/>
      <c r="B169" s="19"/>
      <c r="C169" s="19"/>
      <c r="D169" s="19"/>
      <c r="E169" s="19"/>
      <c r="F169" s="19"/>
      <c r="G169" s="9"/>
      <c r="H169" s="10"/>
    </row>
    <row r="170" spans="1:8">
      <c r="A170" s="19"/>
      <c r="B170" s="19"/>
      <c r="C170" s="19"/>
      <c r="D170" s="19"/>
      <c r="E170" s="19"/>
      <c r="F170" s="19"/>
      <c r="G170" s="9"/>
      <c r="H170" s="10"/>
    </row>
    <row r="171" spans="1:8">
      <c r="A171" s="19"/>
      <c r="B171" s="19"/>
      <c r="C171" s="19"/>
      <c r="D171" s="19"/>
      <c r="E171" s="19"/>
      <c r="F171" s="19"/>
      <c r="G171" s="9"/>
      <c r="H171" s="10"/>
    </row>
    <row r="172" spans="1:8">
      <c r="A172" s="19"/>
      <c r="B172" s="19"/>
      <c r="C172" s="19"/>
      <c r="D172" s="19"/>
      <c r="E172" s="19"/>
      <c r="F172" s="19"/>
      <c r="G172" s="9"/>
      <c r="H172" s="10"/>
    </row>
    <row r="173" spans="1:8">
      <c r="A173" s="19"/>
      <c r="B173" s="19"/>
      <c r="C173" s="19"/>
      <c r="D173" s="19"/>
      <c r="E173" s="19"/>
      <c r="F173" s="19"/>
      <c r="G173" s="9"/>
      <c r="H173" s="10"/>
    </row>
    <row r="174" spans="1:8">
      <c r="A174" s="19"/>
      <c r="B174" s="19"/>
      <c r="C174" s="19"/>
      <c r="D174" s="19"/>
      <c r="E174" s="19"/>
      <c r="F174" s="19"/>
      <c r="G174" s="9"/>
      <c r="H174" s="10"/>
    </row>
    <row r="175" spans="1:8">
      <c r="A175" s="19"/>
      <c r="B175" s="19"/>
      <c r="C175" s="19"/>
      <c r="D175" s="19"/>
      <c r="E175" s="19"/>
      <c r="F175" s="19"/>
      <c r="G175" s="9"/>
      <c r="H175" s="10"/>
    </row>
    <row r="176" spans="1:8">
      <c r="A176" s="19"/>
      <c r="B176" s="19"/>
      <c r="C176" s="19"/>
      <c r="D176" s="19"/>
      <c r="E176" s="19"/>
      <c r="F176" s="19"/>
      <c r="G176" s="9"/>
      <c r="H176" s="10"/>
    </row>
    <row r="177" spans="1:8">
      <c r="A177" s="19"/>
      <c r="B177" s="19"/>
      <c r="C177" s="19"/>
      <c r="D177" s="19"/>
      <c r="E177" s="19"/>
      <c r="F177" s="19"/>
      <c r="G177" s="9"/>
      <c r="H177" s="10"/>
    </row>
    <row r="178" spans="1:8">
      <c r="A178" s="19"/>
      <c r="B178" s="19"/>
      <c r="C178" s="19"/>
      <c r="D178" s="19"/>
      <c r="E178" s="19"/>
      <c r="F178" s="19"/>
      <c r="G178" s="9"/>
      <c r="H178" s="10"/>
    </row>
    <row r="179" spans="1:8">
      <c r="A179" s="19"/>
      <c r="B179" s="19"/>
      <c r="C179" s="19"/>
      <c r="D179" s="19"/>
      <c r="E179" s="19"/>
      <c r="F179" s="19"/>
      <c r="G179" s="9"/>
      <c r="H179" s="10"/>
    </row>
    <row r="180" spans="1:8">
      <c r="A180" s="19"/>
      <c r="B180" s="19"/>
      <c r="C180" s="19"/>
      <c r="D180" s="19"/>
      <c r="E180" s="19"/>
      <c r="F180" s="19"/>
      <c r="G180" s="9"/>
      <c r="H180" s="10"/>
    </row>
    <row r="181" spans="1:8">
      <c r="A181" s="19"/>
      <c r="B181" s="19"/>
      <c r="C181" s="19"/>
      <c r="D181" s="19"/>
      <c r="E181" s="19"/>
      <c r="F181" s="19"/>
      <c r="G181" s="9"/>
      <c r="H181" s="10"/>
    </row>
    <row r="182" spans="1:8">
      <c r="A182" s="19"/>
      <c r="B182" s="19"/>
      <c r="C182" s="19"/>
      <c r="D182" s="19"/>
      <c r="E182" s="19"/>
      <c r="F182" s="19"/>
      <c r="G182" s="9"/>
      <c r="H182" s="10"/>
    </row>
    <row r="183" spans="1:8">
      <c r="A183" s="19"/>
      <c r="B183" s="19"/>
      <c r="C183" s="19"/>
      <c r="D183" s="19"/>
      <c r="E183" s="19"/>
      <c r="F183" s="19"/>
      <c r="G183" s="9"/>
      <c r="H183" s="10"/>
    </row>
    <row r="184" spans="1:8">
      <c r="A184" s="19"/>
      <c r="B184" s="19"/>
      <c r="C184" s="19"/>
      <c r="D184" s="19"/>
      <c r="E184" s="19"/>
      <c r="F184" s="19"/>
      <c r="G184" s="9"/>
      <c r="H184" s="10"/>
    </row>
    <row r="185" spans="1:8">
      <c r="A185" s="19"/>
      <c r="B185" s="19"/>
      <c r="C185" s="19"/>
      <c r="D185" s="19"/>
      <c r="E185" s="19"/>
      <c r="F185" s="19"/>
      <c r="G185" s="9"/>
      <c r="H185" s="10"/>
    </row>
    <row r="186" spans="1:8">
      <c r="A186" s="19"/>
      <c r="B186" s="19"/>
      <c r="C186" s="19"/>
      <c r="D186" s="19"/>
      <c r="E186" s="19"/>
      <c r="F186" s="19"/>
      <c r="G186" s="9"/>
      <c r="H186" s="10"/>
    </row>
    <row r="187" spans="1:8">
      <c r="A187" s="19"/>
      <c r="B187" s="19"/>
      <c r="C187" s="19"/>
      <c r="D187" s="19"/>
      <c r="E187" s="19"/>
      <c r="F187" s="19"/>
      <c r="G187" s="9"/>
      <c r="H187" s="10"/>
    </row>
    <row r="188" spans="1:8">
      <c r="A188" s="19"/>
      <c r="B188" s="19"/>
      <c r="C188" s="19"/>
      <c r="D188" s="19"/>
      <c r="E188" s="19"/>
      <c r="F188" s="19"/>
      <c r="G188" s="9"/>
      <c r="H188" s="10"/>
    </row>
    <row r="189" spans="1:8">
      <c r="A189" s="19"/>
      <c r="B189" s="19"/>
      <c r="C189" s="19"/>
      <c r="D189" s="19"/>
      <c r="E189" s="19"/>
      <c r="F189" s="19"/>
      <c r="G189" s="9"/>
      <c r="H189" s="10"/>
    </row>
    <row r="190" spans="1:8">
      <c r="A190" s="19"/>
      <c r="B190" s="19"/>
      <c r="C190" s="19"/>
      <c r="D190" s="19"/>
      <c r="E190" s="19"/>
      <c r="F190" s="19"/>
      <c r="G190" s="9"/>
      <c r="H190" s="10"/>
    </row>
    <row r="191" spans="1:8">
      <c r="A191" s="19"/>
      <c r="B191" s="19"/>
      <c r="C191" s="19"/>
      <c r="D191" s="19"/>
      <c r="E191" s="19"/>
      <c r="F191" s="19"/>
      <c r="G191" s="9"/>
      <c r="H191" s="10"/>
    </row>
    <row r="192" spans="1:8">
      <c r="A192" s="19"/>
      <c r="B192" s="19"/>
      <c r="C192" s="19"/>
      <c r="D192" s="19"/>
      <c r="E192" s="19"/>
      <c r="F192" s="19"/>
      <c r="G192" s="9"/>
      <c r="H192" s="10"/>
    </row>
    <row r="193" spans="1:8">
      <c r="A193" s="19"/>
      <c r="B193" s="19"/>
      <c r="C193" s="19"/>
      <c r="D193" s="19"/>
      <c r="E193" s="19"/>
      <c r="F193" s="19"/>
      <c r="G193" s="9"/>
      <c r="H193" s="10"/>
    </row>
    <row r="194" spans="1:8">
      <c r="A194" s="19"/>
      <c r="B194" s="19"/>
      <c r="C194" s="19"/>
      <c r="D194" s="19"/>
      <c r="E194" s="19"/>
      <c r="F194" s="19"/>
      <c r="G194" s="9"/>
      <c r="H194" s="10"/>
    </row>
    <row r="195" spans="1:8">
      <c r="A195" s="19"/>
      <c r="B195" s="19"/>
      <c r="C195" s="19"/>
      <c r="D195" s="19"/>
      <c r="E195" s="19"/>
      <c r="F195" s="19"/>
      <c r="G195" s="9"/>
      <c r="H195" s="10"/>
    </row>
    <row r="196" spans="1:8">
      <c r="A196" s="19"/>
      <c r="B196" s="19"/>
      <c r="C196" s="19"/>
      <c r="D196" s="19"/>
      <c r="E196" s="19"/>
      <c r="F196" s="19"/>
      <c r="G196" s="9"/>
      <c r="H196" s="10"/>
    </row>
    <row r="197" spans="1:8">
      <c r="A197" s="19"/>
      <c r="B197" s="19"/>
      <c r="C197" s="19"/>
      <c r="D197" s="19"/>
      <c r="E197" s="19"/>
      <c r="F197" s="19"/>
      <c r="G197" s="9"/>
      <c r="H197" s="10"/>
    </row>
    <row r="198" spans="1:8">
      <c r="A198" s="19"/>
      <c r="B198" s="19"/>
      <c r="C198" s="19"/>
      <c r="D198" s="19"/>
      <c r="E198" s="19"/>
      <c r="F198" s="19"/>
      <c r="G198" s="9"/>
      <c r="H198" s="10"/>
    </row>
    <row r="199" spans="1:8">
      <c r="A199" s="19"/>
      <c r="B199" s="19"/>
      <c r="C199" s="19"/>
      <c r="D199" s="19"/>
      <c r="E199" s="19"/>
      <c r="F199" s="19"/>
      <c r="G199" s="9"/>
      <c r="H199" s="10"/>
    </row>
    <row r="200" spans="1:8">
      <c r="A200" s="19"/>
      <c r="B200" s="19"/>
      <c r="C200" s="19"/>
      <c r="D200" s="19"/>
      <c r="E200" s="19"/>
      <c r="F200" s="19"/>
      <c r="G200" s="9"/>
      <c r="H200" s="10"/>
    </row>
    <row r="201" spans="1:8">
      <c r="A201" s="19"/>
      <c r="B201" s="19"/>
      <c r="C201" s="19"/>
      <c r="D201" s="19"/>
      <c r="E201" s="19"/>
      <c r="F201" s="19"/>
      <c r="G201" s="9"/>
      <c r="H201" s="10"/>
    </row>
    <row r="202" spans="1:8">
      <c r="A202" s="19"/>
      <c r="B202" s="19"/>
      <c r="C202" s="19"/>
      <c r="D202" s="19"/>
      <c r="E202" s="19"/>
      <c r="F202" s="19"/>
      <c r="G202" s="9"/>
      <c r="H202" s="10"/>
    </row>
    <row r="203" spans="1:8">
      <c r="A203" s="19"/>
      <c r="B203" s="19"/>
      <c r="C203" s="19"/>
      <c r="D203" s="19"/>
      <c r="E203" s="19"/>
      <c r="F203" s="19"/>
      <c r="G203" s="9"/>
      <c r="H203" s="10"/>
    </row>
    <row r="204" spans="1:8">
      <c r="A204" s="19"/>
      <c r="B204" s="19"/>
      <c r="C204" s="19"/>
      <c r="D204" s="19"/>
      <c r="E204" s="19"/>
      <c r="F204" s="19"/>
      <c r="G204" s="9"/>
      <c r="H204" s="10"/>
    </row>
    <row r="205" spans="1:8">
      <c r="A205" s="19"/>
      <c r="B205" s="19"/>
      <c r="C205" s="19"/>
      <c r="D205" s="19"/>
      <c r="E205" s="19"/>
      <c r="F205" s="19"/>
      <c r="G205" s="9"/>
      <c r="H205" s="10"/>
    </row>
    <row r="206" spans="1:8">
      <c r="A206" s="19"/>
      <c r="B206" s="19"/>
      <c r="C206" s="19"/>
      <c r="D206" s="19"/>
      <c r="E206" s="19"/>
      <c r="F206" s="19"/>
      <c r="G206" s="9"/>
      <c r="H206" s="10"/>
    </row>
    <row r="207" spans="1:8">
      <c r="A207" s="19"/>
      <c r="B207" s="19"/>
      <c r="C207" s="19"/>
      <c r="D207" s="19"/>
      <c r="E207" s="19"/>
      <c r="F207" s="19"/>
      <c r="G207" s="9"/>
      <c r="H207" s="10"/>
    </row>
    <row r="208" spans="1:8">
      <c r="A208" s="19"/>
      <c r="B208" s="19"/>
      <c r="C208" s="19"/>
      <c r="D208" s="19"/>
      <c r="E208" s="19"/>
      <c r="F208" s="19"/>
      <c r="G208" s="9"/>
      <c r="H208" s="10"/>
    </row>
    <row r="209" spans="1:8">
      <c r="A209" s="19"/>
      <c r="B209" s="19"/>
      <c r="C209" s="19"/>
      <c r="D209" s="19"/>
      <c r="E209" s="19"/>
      <c r="F209" s="19"/>
      <c r="G209" s="9"/>
      <c r="H209" s="10"/>
    </row>
    <row r="210" spans="1:8">
      <c r="A210" s="19"/>
      <c r="B210" s="19"/>
      <c r="C210" s="19"/>
      <c r="D210" s="19"/>
      <c r="E210" s="19"/>
      <c r="F210" s="19"/>
      <c r="G210" s="9"/>
      <c r="H210" s="10"/>
    </row>
    <row r="211" spans="1:8">
      <c r="A211" s="19"/>
      <c r="B211" s="19"/>
      <c r="C211" s="19"/>
      <c r="D211" s="19"/>
      <c r="E211" s="19"/>
      <c r="F211" s="19"/>
      <c r="G211" s="9"/>
      <c r="H211" s="10"/>
    </row>
    <row r="212" spans="1:8">
      <c r="A212" s="19"/>
      <c r="B212" s="19"/>
      <c r="C212" s="19"/>
      <c r="D212" s="19"/>
      <c r="E212" s="19"/>
      <c r="F212" s="19"/>
      <c r="G212" s="9"/>
      <c r="H212" s="10"/>
    </row>
    <row r="213" spans="1:8">
      <c r="A213" s="19"/>
      <c r="B213" s="19"/>
      <c r="C213" s="19"/>
      <c r="D213" s="19"/>
      <c r="E213" s="19"/>
      <c r="F213" s="19"/>
      <c r="G213" s="9"/>
      <c r="H213" s="10"/>
    </row>
    <row r="214" spans="1:8">
      <c r="A214" s="19"/>
      <c r="B214" s="19"/>
      <c r="C214" s="19"/>
      <c r="D214" s="19"/>
      <c r="E214" s="19"/>
      <c r="F214" s="19"/>
      <c r="G214" s="9"/>
      <c r="H214" s="10"/>
    </row>
    <row r="215" spans="1:8">
      <c r="A215" s="19"/>
      <c r="B215" s="19"/>
      <c r="C215" s="19"/>
      <c r="D215" s="19"/>
      <c r="E215" s="19"/>
      <c r="F215" s="19"/>
      <c r="G215" s="9"/>
      <c r="H215" s="10"/>
    </row>
    <row r="216" spans="1:8">
      <c r="A216" s="19"/>
      <c r="B216" s="19"/>
      <c r="C216" s="19"/>
      <c r="D216" s="19"/>
      <c r="E216" s="19"/>
      <c r="F216" s="19"/>
      <c r="G216" s="9"/>
      <c r="H216" s="10"/>
    </row>
    <row r="217" spans="1:8">
      <c r="A217" s="19"/>
      <c r="B217" s="19"/>
      <c r="C217" s="19"/>
      <c r="D217" s="19"/>
      <c r="E217" s="19"/>
      <c r="F217" s="19"/>
      <c r="G217" s="9"/>
      <c r="H217" s="10"/>
    </row>
    <row r="218" spans="1:8">
      <c r="A218" s="19"/>
      <c r="B218" s="19"/>
      <c r="C218" s="19"/>
      <c r="D218" s="19"/>
      <c r="E218" s="19"/>
      <c r="F218" s="19"/>
      <c r="G218" s="9"/>
      <c r="H218" s="10"/>
    </row>
    <row r="219" spans="1:8">
      <c r="A219" s="19"/>
      <c r="B219" s="19"/>
      <c r="C219" s="19"/>
      <c r="D219" s="19"/>
      <c r="E219" s="19"/>
      <c r="F219" s="19"/>
      <c r="G219" s="9"/>
      <c r="H219" s="10"/>
    </row>
    <row r="220" spans="1:8">
      <c r="A220" s="19"/>
      <c r="B220" s="19"/>
      <c r="C220" s="19"/>
      <c r="D220" s="19"/>
      <c r="E220" s="19"/>
      <c r="F220" s="19"/>
      <c r="G220" s="9"/>
      <c r="H220" s="10"/>
    </row>
    <row r="221" spans="1:8">
      <c r="A221" s="19"/>
      <c r="B221" s="19"/>
      <c r="C221" s="19"/>
      <c r="D221" s="19"/>
      <c r="E221" s="19"/>
      <c r="F221" s="19"/>
      <c r="G221" s="9"/>
      <c r="H221" s="10"/>
    </row>
    <row r="222" spans="1:8">
      <c r="A222" s="19"/>
      <c r="B222" s="19"/>
      <c r="C222" s="19"/>
      <c r="D222" s="19"/>
      <c r="E222" s="19"/>
      <c r="F222" s="19"/>
      <c r="G222" s="9"/>
      <c r="H222" s="10"/>
    </row>
    <row r="223" spans="1:8">
      <c r="A223" s="19"/>
      <c r="B223" s="19"/>
      <c r="C223" s="19"/>
      <c r="D223" s="19"/>
      <c r="E223" s="19"/>
      <c r="F223" s="19"/>
      <c r="G223" s="9"/>
      <c r="H223" s="10"/>
    </row>
    <row r="224" spans="1:8">
      <c r="A224" s="19"/>
      <c r="B224" s="19"/>
      <c r="C224" s="19"/>
      <c r="D224" s="19"/>
      <c r="E224" s="19"/>
      <c r="F224" s="19"/>
      <c r="G224" s="9"/>
      <c r="H224" s="10"/>
    </row>
    <row r="225" spans="1:8">
      <c r="A225" s="19"/>
      <c r="B225" s="19"/>
      <c r="C225" s="19"/>
      <c r="D225" s="19"/>
      <c r="E225" s="19"/>
      <c r="F225" s="19"/>
      <c r="G225" s="9"/>
      <c r="H225" s="10"/>
    </row>
    <row r="226" spans="1:8">
      <c r="A226" s="19"/>
      <c r="B226" s="19"/>
      <c r="C226" s="19"/>
      <c r="D226" s="19"/>
      <c r="E226" s="19"/>
      <c r="F226" s="19"/>
      <c r="G226" s="9"/>
      <c r="H226" s="10"/>
    </row>
    <row r="227" spans="1:8">
      <c r="A227" s="19"/>
      <c r="B227" s="19"/>
      <c r="C227" s="19"/>
      <c r="D227" s="19"/>
      <c r="E227" s="19"/>
      <c r="F227" s="19"/>
      <c r="G227" s="9"/>
      <c r="H227" s="10"/>
    </row>
    <row r="228" spans="1:8">
      <c r="A228" s="19"/>
      <c r="B228" s="19"/>
      <c r="C228" s="19"/>
      <c r="D228" s="19"/>
      <c r="E228" s="19"/>
      <c r="F228" s="19"/>
      <c r="G228" s="9"/>
      <c r="H228" s="10"/>
    </row>
    <row r="229" spans="1:8">
      <c r="A229" s="19"/>
      <c r="B229" s="19"/>
      <c r="C229" s="19"/>
      <c r="D229" s="19"/>
      <c r="E229" s="19"/>
      <c r="F229" s="19"/>
      <c r="G229" s="9"/>
      <c r="H229" s="10"/>
    </row>
    <row r="230" spans="1:8">
      <c r="A230" s="19"/>
      <c r="B230" s="19"/>
      <c r="C230" s="19"/>
      <c r="D230" s="19"/>
      <c r="E230" s="19"/>
      <c r="F230" s="19"/>
      <c r="G230" s="9"/>
      <c r="H230" s="10"/>
    </row>
    <row r="231" spans="1:8">
      <c r="A231" s="19"/>
      <c r="B231" s="19"/>
      <c r="C231" s="19"/>
      <c r="D231" s="19"/>
      <c r="E231" s="19"/>
      <c r="F231" s="19"/>
      <c r="G231" s="9"/>
      <c r="H231" s="10"/>
    </row>
    <row r="232" spans="1:8">
      <c r="A232" s="19"/>
      <c r="B232" s="19"/>
      <c r="C232" s="19"/>
      <c r="D232" s="19"/>
      <c r="E232" s="19"/>
      <c r="F232" s="19"/>
      <c r="G232" s="9"/>
      <c r="H232" s="10"/>
    </row>
    <row r="233" spans="1:8">
      <c r="A233" s="19"/>
      <c r="B233" s="19"/>
      <c r="C233" s="19"/>
      <c r="D233" s="19"/>
      <c r="E233" s="19"/>
      <c r="F233" s="19"/>
      <c r="G233" s="9"/>
      <c r="H233" s="10"/>
    </row>
    <row r="234" spans="1:8">
      <c r="A234" s="19"/>
      <c r="B234" s="19"/>
      <c r="C234" s="19"/>
      <c r="D234" s="19"/>
      <c r="E234" s="19"/>
      <c r="F234" s="19"/>
      <c r="G234" s="9"/>
      <c r="H234" s="10"/>
    </row>
    <row r="235" spans="1:8">
      <c r="A235" s="19"/>
      <c r="B235" s="19"/>
      <c r="C235" s="19"/>
      <c r="D235" s="19"/>
      <c r="E235" s="19"/>
      <c r="F235" s="19"/>
      <c r="G235" s="9"/>
      <c r="H235" s="10"/>
    </row>
    <row r="236" spans="1:8">
      <c r="A236" s="19"/>
      <c r="B236" s="19"/>
      <c r="C236" s="19"/>
      <c r="D236" s="19"/>
      <c r="E236" s="19"/>
      <c r="F236" s="19"/>
      <c r="G236" s="9"/>
      <c r="H236" s="10"/>
    </row>
    <row r="237" spans="1:8">
      <c r="A237" s="19"/>
      <c r="B237" s="19"/>
      <c r="C237" s="19"/>
      <c r="D237" s="19"/>
      <c r="E237" s="19"/>
      <c r="F237" s="19"/>
      <c r="G237" s="9"/>
      <c r="H237" s="10"/>
    </row>
    <row r="238" spans="1:8">
      <c r="A238" s="19"/>
      <c r="B238" s="19"/>
      <c r="C238" s="19"/>
      <c r="D238" s="19"/>
      <c r="E238" s="19"/>
      <c r="F238" s="19"/>
      <c r="G238" s="9"/>
      <c r="H238" s="10"/>
    </row>
    <row r="239" spans="1:8">
      <c r="A239" s="19"/>
      <c r="B239" s="19"/>
      <c r="C239" s="19"/>
      <c r="D239" s="19"/>
      <c r="E239" s="19"/>
      <c r="F239" s="19"/>
      <c r="G239" s="9"/>
      <c r="H239" s="10"/>
    </row>
    <row r="240" spans="1:8">
      <c r="A240" s="19"/>
      <c r="B240" s="19"/>
      <c r="C240" s="19"/>
      <c r="D240" s="19"/>
      <c r="E240" s="19"/>
      <c r="F240" s="19"/>
      <c r="G240" s="9"/>
      <c r="H240" s="10"/>
    </row>
    <row r="241" spans="1:8">
      <c r="A241" s="19"/>
      <c r="B241" s="19"/>
      <c r="C241" s="19"/>
      <c r="D241" s="19"/>
      <c r="E241" s="19"/>
      <c r="F241" s="19"/>
      <c r="G241" s="9"/>
      <c r="H241" s="10"/>
    </row>
    <row r="242" spans="1:8">
      <c r="A242" s="19"/>
      <c r="B242" s="19"/>
      <c r="C242" s="19"/>
      <c r="D242" s="19"/>
      <c r="E242" s="19"/>
      <c r="F242" s="19"/>
      <c r="G242" s="9"/>
      <c r="H242" s="10"/>
    </row>
    <row r="243" spans="1:8">
      <c r="A243" s="19"/>
      <c r="B243" s="19"/>
      <c r="C243" s="19"/>
      <c r="D243" s="19"/>
      <c r="E243" s="19"/>
      <c r="F243" s="19"/>
      <c r="G243" s="9"/>
      <c r="H243" s="10"/>
    </row>
    <row r="244" spans="1:8">
      <c r="A244" s="19"/>
      <c r="B244" s="19"/>
      <c r="C244" s="19"/>
      <c r="D244" s="19"/>
      <c r="E244" s="19"/>
      <c r="F244" s="19"/>
      <c r="G244" s="9"/>
      <c r="H244" s="10"/>
    </row>
    <row r="245" spans="1:8">
      <c r="A245" s="19"/>
      <c r="B245" s="19"/>
      <c r="C245" s="19"/>
      <c r="D245" s="19"/>
      <c r="E245" s="19"/>
      <c r="F245" s="19"/>
      <c r="G245" s="9"/>
      <c r="H245" s="10"/>
    </row>
    <row r="246" spans="1:8">
      <c r="A246" s="19"/>
      <c r="B246" s="19"/>
      <c r="C246" s="19"/>
      <c r="D246" s="19"/>
      <c r="E246" s="19"/>
      <c r="F246" s="19"/>
      <c r="G246" s="9"/>
      <c r="H246" s="10"/>
    </row>
    <row r="247" spans="1:8">
      <c r="A247" s="19"/>
      <c r="B247" s="19"/>
      <c r="C247" s="19"/>
      <c r="D247" s="19"/>
      <c r="E247" s="19"/>
      <c r="F247" s="19"/>
      <c r="G247" s="9"/>
      <c r="H247" s="10"/>
    </row>
    <row r="248" spans="1:8">
      <c r="A248" s="19"/>
      <c r="B248" s="19"/>
      <c r="C248" s="19"/>
      <c r="D248" s="19"/>
      <c r="E248" s="19"/>
      <c r="F248" s="19"/>
      <c r="G248" s="9"/>
      <c r="H248" s="10"/>
    </row>
    <row r="249" spans="1:8">
      <c r="A249" s="19"/>
      <c r="B249" s="19"/>
      <c r="C249" s="19"/>
      <c r="D249" s="19"/>
      <c r="E249" s="19"/>
      <c r="F249" s="19"/>
      <c r="G249" s="9"/>
      <c r="H249" s="10"/>
    </row>
    <row r="250" spans="1:8">
      <c r="A250" s="19"/>
      <c r="B250" s="19"/>
      <c r="C250" s="19"/>
      <c r="D250" s="19"/>
      <c r="E250" s="19"/>
      <c r="F250" s="19"/>
      <c r="G250" s="9"/>
      <c r="H250" s="10"/>
    </row>
    <row r="251" spans="1:8">
      <c r="A251" s="19"/>
      <c r="B251" s="19"/>
      <c r="C251" s="19"/>
      <c r="D251" s="19"/>
      <c r="E251" s="19"/>
      <c r="F251" s="19"/>
      <c r="G251" s="9"/>
      <c r="H251" s="10"/>
    </row>
    <row r="252" spans="1:8">
      <c r="A252" s="19"/>
      <c r="B252" s="19"/>
      <c r="C252" s="19"/>
      <c r="D252" s="19"/>
      <c r="E252" s="19"/>
      <c r="F252" s="19"/>
      <c r="G252" s="9"/>
      <c r="H252" s="10"/>
    </row>
    <row r="253" spans="1:8">
      <c r="A253" s="19"/>
      <c r="B253" s="19"/>
      <c r="C253" s="19"/>
      <c r="D253" s="19"/>
      <c r="E253" s="19"/>
      <c r="F253" s="19"/>
      <c r="G253" s="9"/>
      <c r="H253" s="10"/>
    </row>
    <row r="254" spans="1:8">
      <c r="A254" s="19"/>
      <c r="B254" s="19"/>
      <c r="C254" s="19"/>
      <c r="D254" s="19"/>
      <c r="E254" s="19"/>
      <c r="F254" s="19"/>
      <c r="G254" s="9"/>
      <c r="H254" s="10"/>
    </row>
    <row r="255" spans="1:8">
      <c r="A255" s="19"/>
      <c r="B255" s="19"/>
      <c r="C255" s="19"/>
      <c r="D255" s="19"/>
      <c r="E255" s="19"/>
      <c r="F255" s="19"/>
      <c r="G255" s="9"/>
      <c r="H255" s="10"/>
    </row>
    <row r="256" spans="1:8">
      <c r="A256" s="19"/>
      <c r="B256" s="19"/>
      <c r="C256" s="19"/>
      <c r="D256" s="19"/>
      <c r="E256" s="19"/>
      <c r="F256" s="19"/>
      <c r="G256" s="9"/>
      <c r="H256" s="10"/>
    </row>
    <row r="257" spans="1:8">
      <c r="A257" s="19"/>
      <c r="B257" s="19"/>
      <c r="C257" s="19"/>
      <c r="D257" s="19"/>
      <c r="E257" s="19"/>
      <c r="F257" s="19"/>
      <c r="G257" s="9"/>
      <c r="H257" s="10"/>
    </row>
    <row r="258" spans="1:8">
      <c r="A258" s="19"/>
      <c r="B258" s="19"/>
      <c r="C258" s="19"/>
      <c r="D258" s="19"/>
      <c r="E258" s="19"/>
      <c r="F258" s="19"/>
      <c r="G258" s="9"/>
      <c r="H258" s="10"/>
    </row>
    <row r="259" spans="1:8">
      <c r="A259" s="19"/>
      <c r="B259" s="19"/>
      <c r="C259" s="19"/>
      <c r="D259" s="19"/>
      <c r="E259" s="19"/>
      <c r="F259" s="19"/>
      <c r="G259" s="9"/>
      <c r="H259" s="10"/>
    </row>
    <row r="260" spans="1:8">
      <c r="A260" s="19"/>
      <c r="B260" s="19"/>
      <c r="C260" s="19"/>
      <c r="D260" s="19"/>
      <c r="E260" s="19"/>
      <c r="F260" s="19"/>
      <c r="G260" s="9"/>
      <c r="H260" s="10"/>
    </row>
    <row r="261" spans="1:8">
      <c r="A261" s="19"/>
      <c r="B261" s="19"/>
      <c r="C261" s="19"/>
      <c r="D261" s="19"/>
      <c r="E261" s="19"/>
      <c r="F261" s="19"/>
      <c r="G261" s="9"/>
      <c r="H261" s="10"/>
    </row>
    <row r="262" spans="1:8">
      <c r="A262" s="19"/>
      <c r="B262" s="19"/>
      <c r="C262" s="19"/>
      <c r="D262" s="19"/>
      <c r="E262" s="19"/>
      <c r="F262" s="19"/>
      <c r="G262" s="9"/>
      <c r="H262" s="10"/>
    </row>
    <row r="263" spans="1:8">
      <c r="A263" s="19"/>
      <c r="B263" s="19"/>
      <c r="C263" s="19"/>
      <c r="D263" s="19"/>
      <c r="E263" s="19"/>
      <c r="F263" s="19"/>
      <c r="G263" s="9"/>
      <c r="H263" s="10"/>
    </row>
    <row r="264" spans="1:8">
      <c r="A264" s="19"/>
      <c r="B264" s="19"/>
      <c r="C264" s="19"/>
      <c r="D264" s="19"/>
      <c r="E264" s="19"/>
      <c r="F264" s="19"/>
      <c r="G264" s="9"/>
      <c r="H264" s="10"/>
    </row>
    <row r="265" spans="1:8">
      <c r="A265" s="19"/>
      <c r="B265" s="19"/>
      <c r="C265" s="19"/>
      <c r="D265" s="19"/>
      <c r="E265" s="19"/>
      <c r="F265" s="19"/>
      <c r="G265" s="9"/>
      <c r="H265" s="10"/>
    </row>
    <row r="266" spans="1:8">
      <c r="A266" s="19"/>
      <c r="B266" s="19"/>
      <c r="C266" s="19"/>
      <c r="D266" s="19"/>
      <c r="E266" s="19"/>
      <c r="F266" s="19"/>
      <c r="G266" s="9"/>
      <c r="H266" s="10"/>
    </row>
    <row r="267" spans="1:8">
      <c r="A267" s="19"/>
      <c r="B267" s="19"/>
      <c r="C267" s="19"/>
      <c r="D267" s="19"/>
      <c r="E267" s="19"/>
      <c r="F267" s="19"/>
      <c r="G267" s="9"/>
      <c r="H267" s="10"/>
    </row>
    <row r="268" spans="1:8">
      <c r="A268" s="19"/>
      <c r="B268" s="19"/>
      <c r="C268" s="19"/>
      <c r="D268" s="19"/>
      <c r="E268" s="19"/>
      <c r="F268" s="19"/>
      <c r="G268" s="9"/>
      <c r="H268" s="10"/>
    </row>
    <row r="269" spans="1:8">
      <c r="A269" s="19"/>
      <c r="B269" s="19"/>
      <c r="C269" s="19"/>
      <c r="D269" s="19"/>
      <c r="E269" s="19"/>
      <c r="F269" s="19"/>
      <c r="G269" s="9"/>
      <c r="H269" s="10"/>
    </row>
    <row r="270" spans="1:8">
      <c r="A270" s="19"/>
      <c r="B270" s="19"/>
      <c r="C270" s="19"/>
      <c r="D270" s="19"/>
      <c r="E270" s="19"/>
      <c r="F270" s="19"/>
      <c r="G270" s="9"/>
      <c r="H270" s="10"/>
    </row>
    <row r="271" spans="1:8">
      <c r="A271" s="19"/>
      <c r="B271" s="19"/>
      <c r="C271" s="19"/>
      <c r="D271" s="19"/>
      <c r="E271" s="19"/>
      <c r="F271" s="19"/>
      <c r="G271" s="9"/>
      <c r="H271" s="10"/>
    </row>
    <row r="272" spans="1:8">
      <c r="A272" s="19"/>
      <c r="B272" s="19"/>
      <c r="C272" s="19"/>
      <c r="D272" s="19"/>
      <c r="E272" s="19"/>
      <c r="F272" s="19"/>
      <c r="G272" s="9"/>
      <c r="H272" s="10"/>
    </row>
    <row r="273" spans="1:8">
      <c r="A273" s="19"/>
      <c r="B273" s="19"/>
      <c r="C273" s="19"/>
      <c r="D273" s="19"/>
      <c r="E273" s="19"/>
      <c r="F273" s="19"/>
      <c r="G273" s="9"/>
      <c r="H273" s="10"/>
    </row>
    <row r="274" spans="1:8">
      <c r="A274" s="19"/>
      <c r="B274" s="19"/>
      <c r="C274" s="19"/>
      <c r="D274" s="19"/>
      <c r="E274" s="19"/>
      <c r="F274" s="19"/>
      <c r="G274" s="9"/>
      <c r="H274" s="10"/>
    </row>
    <row r="275" spans="1:8">
      <c r="A275" s="19"/>
      <c r="B275" s="19"/>
      <c r="C275" s="19"/>
      <c r="D275" s="19"/>
      <c r="E275" s="19"/>
      <c r="F275" s="19"/>
      <c r="G275" s="9"/>
      <c r="H275" s="10"/>
    </row>
    <row r="276" spans="1:8">
      <c r="A276" s="19"/>
      <c r="B276" s="19"/>
      <c r="C276" s="19"/>
      <c r="D276" s="19"/>
      <c r="E276" s="19"/>
      <c r="F276" s="19"/>
      <c r="G276" s="9"/>
      <c r="H276" s="10"/>
    </row>
    <row r="277" spans="1:8">
      <c r="A277" s="19"/>
      <c r="B277" s="19"/>
      <c r="C277" s="19"/>
      <c r="D277" s="19"/>
      <c r="E277" s="19"/>
      <c r="F277" s="19"/>
      <c r="G277" s="9"/>
      <c r="H277" s="10"/>
    </row>
    <row r="278" spans="1:8">
      <c r="A278" s="19"/>
      <c r="B278" s="19"/>
      <c r="C278" s="19"/>
      <c r="D278" s="19"/>
      <c r="E278" s="19"/>
      <c r="F278" s="19"/>
      <c r="G278" s="9"/>
      <c r="H278" s="10"/>
    </row>
    <row r="279" spans="1:8">
      <c r="A279" s="19"/>
      <c r="B279" s="19"/>
      <c r="C279" s="19"/>
      <c r="D279" s="19"/>
      <c r="E279" s="19"/>
      <c r="F279" s="19"/>
      <c r="G279" s="9"/>
      <c r="H279" s="10"/>
    </row>
    <row r="280" spans="1:8">
      <c r="A280" s="19"/>
      <c r="B280" s="19"/>
      <c r="C280" s="19"/>
      <c r="D280" s="19"/>
      <c r="E280" s="19"/>
      <c r="F280" s="19"/>
      <c r="G280" s="9"/>
      <c r="H280" s="10"/>
    </row>
    <row r="281" spans="1:8">
      <c r="A281" s="19"/>
      <c r="B281" s="19"/>
      <c r="C281" s="19"/>
      <c r="D281" s="19"/>
      <c r="E281" s="19"/>
      <c r="F281" s="19"/>
      <c r="G281" s="9"/>
      <c r="H281" s="10"/>
    </row>
    <row r="282" spans="1:8">
      <c r="A282" s="19"/>
      <c r="B282" s="19"/>
      <c r="C282" s="19"/>
      <c r="D282" s="19"/>
      <c r="E282" s="19"/>
      <c r="F282" s="19"/>
      <c r="G282" s="9"/>
      <c r="H282" s="10"/>
    </row>
    <row r="283" spans="1:8">
      <c r="A283" s="19"/>
      <c r="B283" s="19"/>
      <c r="C283" s="19"/>
      <c r="D283" s="19"/>
      <c r="E283" s="19"/>
      <c r="F283" s="19"/>
      <c r="G283" s="9"/>
      <c r="H283" s="10"/>
    </row>
    <row r="284" spans="1:8">
      <c r="A284" s="19"/>
      <c r="B284" s="19"/>
      <c r="C284" s="19"/>
      <c r="D284" s="19"/>
      <c r="E284" s="19"/>
      <c r="F284" s="19"/>
      <c r="G284" s="9"/>
      <c r="H284" s="10"/>
    </row>
    <row r="285" spans="1:8">
      <c r="A285" s="19"/>
      <c r="B285" s="19"/>
      <c r="C285" s="19"/>
      <c r="D285" s="19"/>
      <c r="E285" s="19"/>
      <c r="F285" s="19"/>
      <c r="G285" s="9"/>
      <c r="H285" s="10"/>
    </row>
    <row r="286" spans="1:8">
      <c r="A286" s="19"/>
      <c r="B286" s="19"/>
      <c r="C286" s="19"/>
      <c r="D286" s="19"/>
      <c r="E286" s="19"/>
      <c r="F286" s="19"/>
      <c r="G286" s="9"/>
      <c r="H286" s="10"/>
    </row>
    <row r="287" spans="1:8">
      <c r="A287" s="19"/>
      <c r="B287" s="19"/>
      <c r="C287" s="19"/>
      <c r="D287" s="19"/>
      <c r="E287" s="19"/>
      <c r="F287" s="19"/>
      <c r="G287" s="9"/>
      <c r="H287" s="10"/>
    </row>
    <row r="288" spans="1:8">
      <c r="A288" s="9"/>
      <c r="B288" s="19"/>
      <c r="C288" s="19"/>
      <c r="D288" s="19"/>
      <c r="E288" s="19"/>
      <c r="F288" s="19"/>
      <c r="G288" s="9"/>
      <c r="H288" s="10"/>
    </row>
    <row r="289" spans="1:8">
      <c r="A289" s="9"/>
      <c r="B289" s="19"/>
      <c r="C289" s="19"/>
      <c r="D289" s="19"/>
      <c r="E289" s="19"/>
      <c r="F289" s="19"/>
      <c r="G289" s="9"/>
      <c r="H289" s="10"/>
    </row>
    <row r="290" spans="1:8">
      <c r="A290" s="9"/>
      <c r="B290" s="19"/>
      <c r="C290" s="19"/>
      <c r="D290" s="19"/>
      <c r="E290" s="19"/>
      <c r="F290" s="19"/>
      <c r="G290" s="9"/>
      <c r="H290" s="10"/>
    </row>
    <row r="291" spans="1:8">
      <c r="A291" s="9"/>
      <c r="B291" s="19"/>
      <c r="C291" s="19"/>
      <c r="D291" s="19"/>
      <c r="E291" s="19"/>
      <c r="F291" s="19"/>
      <c r="G291" s="9"/>
      <c r="H291" s="10"/>
    </row>
    <row r="292" spans="1:8">
      <c r="A292" s="9"/>
      <c r="B292" s="19"/>
      <c r="C292" s="19"/>
      <c r="D292" s="19"/>
      <c r="E292" s="19"/>
      <c r="F292" s="19"/>
      <c r="G292" s="9"/>
      <c r="H292" s="10"/>
    </row>
    <row r="293" spans="1:8">
      <c r="A293" s="9"/>
      <c r="B293" s="19"/>
      <c r="C293" s="19"/>
      <c r="D293" s="19"/>
      <c r="E293" s="19"/>
      <c r="F293" s="19"/>
      <c r="G293" s="9"/>
      <c r="H293" s="10"/>
    </row>
    <row r="294" spans="1:8">
      <c r="A294" s="9"/>
      <c r="B294" s="19"/>
      <c r="C294" s="19"/>
      <c r="D294" s="19"/>
      <c r="E294" s="19"/>
      <c r="F294" s="19"/>
      <c r="G294" s="9"/>
      <c r="H294" s="10"/>
    </row>
    <row r="295" spans="1:8">
      <c r="A295" s="5"/>
      <c r="B295" s="5"/>
      <c r="C295" s="5"/>
      <c r="D295" s="5"/>
      <c r="E295" s="5"/>
      <c r="F295" s="5"/>
      <c r="G295" s="5"/>
      <c r="H295" s="6"/>
    </row>
  </sheetData>
  <sheetProtection algorithmName="SHA-512" hashValue="0rer8P+Wk+rbiS7ZJxSWgamkhePQ5f5xD+zxCnGT5gmQAdvT3rdlRft4cmuICiPDrHaQGc+1DbOZzxUiW2e/uQ==" saltValue="eLnzxJQqdvS7L3rIMkwfeQ==" spinCount="100000" sheet="1" objects="1" scenarios="1"/>
  <mergeCells count="5">
    <mergeCell ref="A2:H2"/>
    <mergeCell ref="B3:H3"/>
    <mergeCell ref="A3:A4"/>
    <mergeCell ref="A1:E1"/>
    <mergeCell ref="F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81E06-E440-40CA-B1D8-AE60E4F8591F}">
  <dimension ref="A1:F48"/>
  <sheetViews>
    <sheetView zoomScale="90" zoomScaleNormal="90" workbookViewId="0">
      <selection activeCell="A8" sqref="A8"/>
    </sheetView>
  </sheetViews>
  <sheetFormatPr defaultRowHeight="13.2"/>
  <cols>
    <col min="1" max="1" width="42.8984375" style="3" customWidth="1"/>
    <col min="2" max="4" width="12.09765625" style="3" customWidth="1"/>
    <col min="5" max="5" width="14.8984375" style="3" customWidth="1"/>
    <col min="6" max="6" width="33.296875" style="4" customWidth="1"/>
    <col min="7" max="16384" width="8.796875" style="2"/>
  </cols>
  <sheetData>
    <row r="1" spans="1:6" ht="114" customHeight="1">
      <c r="A1" s="28" t="s">
        <v>19</v>
      </c>
      <c r="B1" s="28"/>
      <c r="C1" s="28"/>
      <c r="D1" s="28"/>
      <c r="E1" s="29" t="s">
        <v>11</v>
      </c>
      <c r="F1" s="30"/>
    </row>
    <row r="2" spans="1:6" ht="15.6">
      <c r="A2" s="23" t="s">
        <v>1</v>
      </c>
      <c r="B2" s="24"/>
      <c r="C2" s="24"/>
      <c r="D2" s="24"/>
      <c r="E2" s="24"/>
      <c r="F2" s="24"/>
    </row>
    <row r="3" spans="1:6" ht="15.6" customHeight="1">
      <c r="A3" s="26" t="s">
        <v>3</v>
      </c>
      <c r="B3" s="25" t="s">
        <v>15</v>
      </c>
      <c r="C3" s="25"/>
      <c r="D3" s="25"/>
      <c r="E3" s="25"/>
      <c r="F3" s="25"/>
    </row>
    <row r="4" spans="1:6" ht="36" customHeight="1">
      <c r="A4" s="27"/>
      <c r="B4" s="7" t="s">
        <v>12</v>
      </c>
      <c r="C4" s="7" t="s">
        <v>13</v>
      </c>
      <c r="D4" s="7" t="s">
        <v>14</v>
      </c>
      <c r="E4" s="8" t="s">
        <v>16</v>
      </c>
      <c r="F4" s="8" t="s">
        <v>10</v>
      </c>
    </row>
    <row r="5" spans="1:6" ht="14.4">
      <c r="A5" s="11" t="e" cm="1" vm="1">
        <f t="array" ref="A5">_xlfn._xlws.FILTER('Use-Value'!A5:A35, 'Use-Value'!A5:A35&lt;&gt;"")</f>
        <v>#VALUE!</v>
      </c>
      <c r="B5" s="18"/>
      <c r="C5" s="18"/>
      <c r="D5" s="18"/>
      <c r="E5" s="3">
        <f>SUM(B5:D5)/3</f>
        <v>0</v>
      </c>
      <c r="F5" s="4" t="str">
        <f>IF(AND(E5&gt;=1, E5&lt;2), "Very Low Effort/Complexity",
IF(AND(E5&gt;=2, E5&lt;3), "Low Effort/Complexity",
IF(AND(E5&gt;=3, E5&lt;4), "Moderate Effort/Complexity",
IF(AND(E5&gt;=4, E5&lt;5), "High Effort/Complexity",
IF(E5&gt;=5, "Very High Effort/Complexity",
"Invalid Input")))))</f>
        <v>Invalid Input</v>
      </c>
    </row>
    <row r="6" spans="1:6" ht="14.4">
      <c r="A6" s="11"/>
      <c r="B6" s="18"/>
      <c r="C6" s="18"/>
      <c r="D6" s="18"/>
      <c r="E6" s="3">
        <f t="shared" ref="E6:E15" si="0">SUM(B6:D6)/3</f>
        <v>0</v>
      </c>
      <c r="F6" s="4" t="str">
        <f t="shared" ref="F6:F35" si="1">IF(AND(E6&gt;=1, E6&lt;2), "Very Low Effort/Complexity",
IF(AND(E6&gt;=2, E6&lt;3), "Low Effort/Complexity",
IF(AND(E6&gt;=3, E6&lt;4), "Moderate Effort/Complexity",
IF(AND(E6&gt;=4, E6&lt;5), "High Effort/Complexity",
IF(E6&gt;=5, "Very High Effort/Complexity",
"Invalid Input")))))</f>
        <v>Invalid Input</v>
      </c>
    </row>
    <row r="7" spans="1:6" ht="14.4">
      <c r="A7" s="11"/>
      <c r="B7" s="18"/>
      <c r="C7" s="18"/>
      <c r="D7" s="18"/>
      <c r="E7" s="3">
        <f t="shared" si="0"/>
        <v>0</v>
      </c>
      <c r="F7" s="4" t="str">
        <f t="shared" si="1"/>
        <v>Invalid Input</v>
      </c>
    </row>
    <row r="8" spans="1:6" ht="14.4">
      <c r="A8" s="11"/>
      <c r="B8" s="18"/>
      <c r="C8" s="18"/>
      <c r="D8" s="18"/>
      <c r="E8" s="3">
        <f t="shared" si="0"/>
        <v>0</v>
      </c>
      <c r="F8" s="4" t="str">
        <f t="shared" si="1"/>
        <v>Invalid Input</v>
      </c>
    </row>
    <row r="9" spans="1:6">
      <c r="B9" s="18"/>
      <c r="C9" s="18"/>
      <c r="D9" s="18"/>
      <c r="E9" s="3">
        <f t="shared" si="0"/>
        <v>0</v>
      </c>
      <c r="F9" s="4" t="str">
        <f t="shared" si="1"/>
        <v>Invalid Input</v>
      </c>
    </row>
    <row r="10" spans="1:6">
      <c r="B10" s="18"/>
      <c r="C10" s="18"/>
      <c r="D10" s="18"/>
      <c r="E10" s="3">
        <f t="shared" si="0"/>
        <v>0</v>
      </c>
      <c r="F10" s="4" t="str">
        <f t="shared" si="1"/>
        <v>Invalid Input</v>
      </c>
    </row>
    <row r="11" spans="1:6">
      <c r="B11" s="18"/>
      <c r="C11" s="18"/>
      <c r="D11" s="18"/>
      <c r="E11" s="3">
        <f t="shared" si="0"/>
        <v>0</v>
      </c>
      <c r="F11" s="4" t="str">
        <f t="shared" si="1"/>
        <v>Invalid Input</v>
      </c>
    </row>
    <row r="12" spans="1:6">
      <c r="B12" s="18"/>
      <c r="C12" s="18"/>
      <c r="D12" s="18"/>
      <c r="E12" s="3">
        <f t="shared" si="0"/>
        <v>0</v>
      </c>
      <c r="F12" s="4" t="str">
        <f t="shared" si="1"/>
        <v>Invalid Input</v>
      </c>
    </row>
    <row r="13" spans="1:6">
      <c r="B13" s="18"/>
      <c r="C13" s="18"/>
      <c r="D13" s="18"/>
      <c r="E13" s="3">
        <f t="shared" si="0"/>
        <v>0</v>
      </c>
      <c r="F13" s="4" t="str">
        <f t="shared" si="1"/>
        <v>Invalid Input</v>
      </c>
    </row>
    <row r="14" spans="1:6">
      <c r="B14" s="18"/>
      <c r="C14" s="18"/>
      <c r="D14" s="18"/>
      <c r="E14" s="3">
        <f t="shared" si="0"/>
        <v>0</v>
      </c>
      <c r="F14" s="4" t="str">
        <f t="shared" si="1"/>
        <v>Invalid Input</v>
      </c>
    </row>
    <row r="15" spans="1:6">
      <c r="B15" s="18"/>
      <c r="C15" s="18"/>
      <c r="D15" s="18"/>
      <c r="E15" s="3">
        <f t="shared" si="0"/>
        <v>0</v>
      </c>
      <c r="F15" s="4" t="str">
        <f t="shared" si="1"/>
        <v>Invalid Input</v>
      </c>
    </row>
    <row r="16" spans="1:6">
      <c r="B16" s="18"/>
      <c r="C16" s="18"/>
      <c r="D16" s="18"/>
      <c r="E16" s="3">
        <f t="shared" ref="E16:E35" si="2">SUM(B16:D16)/3</f>
        <v>0</v>
      </c>
      <c r="F16" s="4" t="str">
        <f t="shared" si="1"/>
        <v>Invalid Input</v>
      </c>
    </row>
    <row r="17" spans="2:6">
      <c r="B17" s="18"/>
      <c r="C17" s="18"/>
      <c r="D17" s="18"/>
      <c r="E17" s="3">
        <f t="shared" si="2"/>
        <v>0</v>
      </c>
      <c r="F17" s="4" t="str">
        <f t="shared" si="1"/>
        <v>Invalid Input</v>
      </c>
    </row>
    <row r="18" spans="2:6">
      <c r="B18" s="18"/>
      <c r="C18" s="18"/>
      <c r="D18" s="18"/>
      <c r="E18" s="3">
        <f t="shared" si="2"/>
        <v>0</v>
      </c>
      <c r="F18" s="4" t="str">
        <f t="shared" si="1"/>
        <v>Invalid Input</v>
      </c>
    </row>
    <row r="19" spans="2:6">
      <c r="B19" s="18"/>
      <c r="C19" s="18"/>
      <c r="D19" s="18"/>
      <c r="E19" s="3">
        <f t="shared" si="2"/>
        <v>0</v>
      </c>
      <c r="F19" s="4" t="str">
        <f t="shared" si="1"/>
        <v>Invalid Input</v>
      </c>
    </row>
    <row r="20" spans="2:6">
      <c r="B20" s="18"/>
      <c r="C20" s="18"/>
      <c r="D20" s="18"/>
      <c r="E20" s="3">
        <f t="shared" si="2"/>
        <v>0</v>
      </c>
      <c r="F20" s="4" t="str">
        <f t="shared" si="1"/>
        <v>Invalid Input</v>
      </c>
    </row>
    <row r="21" spans="2:6">
      <c r="B21" s="18"/>
      <c r="C21" s="18"/>
      <c r="D21" s="18"/>
      <c r="E21" s="3">
        <f t="shared" si="2"/>
        <v>0</v>
      </c>
      <c r="F21" s="4" t="str">
        <f t="shared" si="1"/>
        <v>Invalid Input</v>
      </c>
    </row>
    <row r="22" spans="2:6">
      <c r="B22" s="18"/>
      <c r="C22" s="18"/>
      <c r="D22" s="18"/>
      <c r="E22" s="3">
        <f t="shared" si="2"/>
        <v>0</v>
      </c>
      <c r="F22" s="4" t="str">
        <f t="shared" si="1"/>
        <v>Invalid Input</v>
      </c>
    </row>
    <row r="23" spans="2:6">
      <c r="B23" s="18"/>
      <c r="C23" s="18"/>
      <c r="D23" s="18"/>
      <c r="E23" s="3">
        <f t="shared" si="2"/>
        <v>0</v>
      </c>
      <c r="F23" s="4" t="str">
        <f t="shared" si="1"/>
        <v>Invalid Input</v>
      </c>
    </row>
    <row r="24" spans="2:6">
      <c r="B24" s="18"/>
      <c r="C24" s="18"/>
      <c r="D24" s="18"/>
      <c r="E24" s="3">
        <f t="shared" si="2"/>
        <v>0</v>
      </c>
      <c r="F24" s="4" t="str">
        <f t="shared" si="1"/>
        <v>Invalid Input</v>
      </c>
    </row>
    <row r="25" spans="2:6">
      <c r="B25" s="18"/>
      <c r="C25" s="18"/>
      <c r="D25" s="18"/>
      <c r="E25" s="3">
        <f t="shared" si="2"/>
        <v>0</v>
      </c>
      <c r="F25" s="4" t="str">
        <f t="shared" si="1"/>
        <v>Invalid Input</v>
      </c>
    </row>
    <row r="26" spans="2:6">
      <c r="B26" s="18"/>
      <c r="C26" s="18"/>
      <c r="D26" s="18"/>
      <c r="E26" s="3">
        <f t="shared" si="2"/>
        <v>0</v>
      </c>
      <c r="F26" s="4" t="str">
        <f t="shared" si="1"/>
        <v>Invalid Input</v>
      </c>
    </row>
    <row r="27" spans="2:6">
      <c r="B27" s="18"/>
      <c r="C27" s="18"/>
      <c r="D27" s="18"/>
      <c r="E27" s="3">
        <f t="shared" si="2"/>
        <v>0</v>
      </c>
      <c r="F27" s="4" t="str">
        <f t="shared" si="1"/>
        <v>Invalid Input</v>
      </c>
    </row>
    <row r="28" spans="2:6">
      <c r="B28" s="18"/>
      <c r="C28" s="18"/>
      <c r="D28" s="18"/>
      <c r="E28" s="3">
        <f t="shared" si="2"/>
        <v>0</v>
      </c>
      <c r="F28" s="4" t="str">
        <f t="shared" si="1"/>
        <v>Invalid Input</v>
      </c>
    </row>
    <row r="29" spans="2:6">
      <c r="B29" s="18"/>
      <c r="C29" s="18"/>
      <c r="D29" s="18"/>
      <c r="E29" s="3">
        <f t="shared" si="2"/>
        <v>0</v>
      </c>
      <c r="F29" s="4" t="str">
        <f t="shared" si="1"/>
        <v>Invalid Input</v>
      </c>
    </row>
    <row r="30" spans="2:6">
      <c r="B30" s="18"/>
      <c r="C30" s="18"/>
      <c r="D30" s="18"/>
      <c r="E30" s="3">
        <f t="shared" si="2"/>
        <v>0</v>
      </c>
      <c r="F30" s="4" t="str">
        <f t="shared" si="1"/>
        <v>Invalid Input</v>
      </c>
    </row>
    <row r="31" spans="2:6">
      <c r="B31" s="18"/>
      <c r="C31" s="18"/>
      <c r="D31" s="18"/>
      <c r="E31" s="3">
        <f t="shared" si="2"/>
        <v>0</v>
      </c>
      <c r="F31" s="4" t="str">
        <f t="shared" si="1"/>
        <v>Invalid Input</v>
      </c>
    </row>
    <row r="32" spans="2:6">
      <c r="B32" s="18"/>
      <c r="C32" s="18"/>
      <c r="D32" s="18"/>
      <c r="E32" s="3">
        <f t="shared" si="2"/>
        <v>0</v>
      </c>
      <c r="F32" s="4" t="str">
        <f t="shared" si="1"/>
        <v>Invalid Input</v>
      </c>
    </row>
    <row r="33" spans="1:6">
      <c r="B33" s="18"/>
      <c r="C33" s="18"/>
      <c r="D33" s="18"/>
      <c r="E33" s="3">
        <f t="shared" si="2"/>
        <v>0</v>
      </c>
      <c r="F33" s="4" t="str">
        <f t="shared" si="1"/>
        <v>Invalid Input</v>
      </c>
    </row>
    <row r="34" spans="1:6">
      <c r="B34" s="18"/>
      <c r="C34" s="18"/>
      <c r="D34" s="18"/>
      <c r="E34" s="3">
        <f t="shared" si="2"/>
        <v>0</v>
      </c>
      <c r="F34" s="4" t="str">
        <f t="shared" si="1"/>
        <v>Invalid Input</v>
      </c>
    </row>
    <row r="35" spans="1:6">
      <c r="B35" s="18"/>
      <c r="C35" s="18"/>
      <c r="D35" s="18"/>
      <c r="E35" s="3">
        <f t="shared" si="2"/>
        <v>0</v>
      </c>
      <c r="F35" s="4" t="str">
        <f t="shared" si="1"/>
        <v>Invalid Input</v>
      </c>
    </row>
    <row r="36" spans="1:6">
      <c r="A36" s="9"/>
      <c r="B36" s="19"/>
      <c r="C36" s="19"/>
      <c r="D36" s="19"/>
      <c r="E36" s="9"/>
      <c r="F36" s="10"/>
    </row>
    <row r="37" spans="1:6">
      <c r="A37" s="9"/>
      <c r="B37" s="19"/>
      <c r="C37" s="19"/>
      <c r="D37" s="19"/>
      <c r="E37" s="9"/>
      <c r="F37" s="10"/>
    </row>
    <row r="38" spans="1:6">
      <c r="A38" s="9"/>
      <c r="B38" s="19"/>
      <c r="C38" s="19"/>
      <c r="D38" s="19"/>
      <c r="E38" s="9"/>
      <c r="F38" s="10"/>
    </row>
    <row r="39" spans="1:6">
      <c r="A39" s="9"/>
      <c r="B39" s="19"/>
      <c r="C39" s="19"/>
      <c r="D39" s="19"/>
      <c r="E39" s="9"/>
      <c r="F39" s="10"/>
    </row>
    <row r="40" spans="1:6">
      <c r="A40" s="9"/>
      <c r="B40" s="19"/>
      <c r="C40" s="19"/>
      <c r="D40" s="19"/>
      <c r="E40" s="9"/>
      <c r="F40" s="10"/>
    </row>
    <row r="41" spans="1:6">
      <c r="A41" s="9"/>
      <c r="B41" s="19"/>
      <c r="C41" s="19"/>
      <c r="D41" s="19"/>
      <c r="E41" s="9"/>
      <c r="F41" s="10"/>
    </row>
    <row r="42" spans="1:6">
      <c r="A42" s="9"/>
      <c r="B42" s="19"/>
      <c r="C42" s="19"/>
      <c r="D42" s="19"/>
      <c r="E42" s="9"/>
      <c r="F42" s="10"/>
    </row>
    <row r="43" spans="1:6">
      <c r="A43" s="9"/>
      <c r="B43" s="19"/>
      <c r="C43" s="19"/>
      <c r="D43" s="19"/>
      <c r="E43" s="9"/>
      <c r="F43" s="10"/>
    </row>
    <row r="44" spans="1:6">
      <c r="A44" s="9"/>
      <c r="B44" s="19"/>
      <c r="C44" s="19"/>
      <c r="D44" s="19"/>
      <c r="E44" s="9"/>
      <c r="F44" s="10"/>
    </row>
    <row r="45" spans="1:6">
      <c r="A45" s="9"/>
      <c r="B45" s="19"/>
      <c r="C45" s="19"/>
      <c r="D45" s="19"/>
      <c r="E45" s="9"/>
      <c r="F45" s="10"/>
    </row>
    <row r="46" spans="1:6">
      <c r="A46" s="9"/>
      <c r="B46" s="19"/>
      <c r="C46" s="19"/>
      <c r="D46" s="19"/>
      <c r="E46" s="9"/>
      <c r="F46" s="10"/>
    </row>
    <row r="47" spans="1:6">
      <c r="A47" s="9"/>
      <c r="B47" s="9"/>
      <c r="C47" s="9"/>
      <c r="D47" s="9"/>
      <c r="E47" s="9"/>
      <c r="F47" s="10"/>
    </row>
    <row r="48" spans="1:6">
      <c r="A48" s="5"/>
      <c r="B48" s="5"/>
      <c r="C48" s="5"/>
      <c r="D48" s="5"/>
      <c r="E48" s="5"/>
      <c r="F48" s="6"/>
    </row>
  </sheetData>
  <sheetProtection algorithmName="SHA-512" hashValue="lgsXv8Ksv5smJ/jH2RdhYe89BqaJSwnNoee8GVMuhsVBReNhUuG7ZDX6GCCiIpA48OYS5d2wuw3AXUDJeeobTw==" saltValue="X8zvEl4tNIFaGJxKLSDb0g==" spinCount="100000" sheet="1" objects="1" scenarios="1"/>
  <mergeCells count="5">
    <mergeCell ref="A1:D1"/>
    <mergeCell ref="A2:F2"/>
    <mergeCell ref="A3:A4"/>
    <mergeCell ref="B3:F3"/>
    <mergeCell ref="E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16649-655D-481B-BBB9-D198965650DF}">
  <dimension ref="A1:V78"/>
  <sheetViews>
    <sheetView tabSelected="1" zoomScale="90" zoomScaleNormal="90" workbookViewId="0">
      <selection activeCell="E11" sqref="E11"/>
    </sheetView>
  </sheetViews>
  <sheetFormatPr defaultRowHeight="13.8"/>
  <cols>
    <col min="1" max="1" width="41.59765625" customWidth="1"/>
    <col min="2" max="2" width="15.796875" customWidth="1"/>
    <col min="3" max="3" width="15.296875" customWidth="1"/>
    <col min="4" max="4" width="18.296875" customWidth="1"/>
    <col min="6" max="22" width="8.796875" style="1"/>
  </cols>
  <sheetData>
    <row r="1" spans="1:5" ht="45.6" customHeight="1">
      <c r="A1" s="12" t="s">
        <v>3</v>
      </c>
      <c r="B1" s="13" t="s">
        <v>9</v>
      </c>
      <c r="C1" s="13" t="s">
        <v>16</v>
      </c>
      <c r="D1" s="14" t="s">
        <v>17</v>
      </c>
      <c r="E1" s="15" t="s">
        <v>18</v>
      </c>
    </row>
    <row r="2" spans="1:5">
      <c r="A2" s="16" t="e" cm="1" vm="1">
        <f t="array" ref="A2">_xlfn._xlws.FILTER('Use-Value'!A5:A35, 'Use-Value'!A5:A35&lt;&gt;"")</f>
        <v>#VALUE!</v>
      </c>
      <c r="B2" s="17">
        <f>'Use-Value'!G5</f>
        <v>0</v>
      </c>
      <c r="C2" s="17">
        <f>'Effort-Complexity'!E5</f>
        <v>0</v>
      </c>
      <c r="D2" s="17">
        <f>IF(AND(B2&lt;&gt;"", B2&lt;&gt;0, C2&lt;&gt;"", C2&lt;&gt;0), B2/C2,0)</f>
        <v>0</v>
      </c>
      <c r="E2" s="17">
        <f>_xlfn.RANK.EQ(D2,$D$2:$D$37,0)</f>
        <v>1</v>
      </c>
    </row>
    <row r="3" spans="1:5">
      <c r="A3" s="16"/>
      <c r="B3" s="17">
        <f>'Use-Value'!G6</f>
        <v>0</v>
      </c>
      <c r="C3" s="17">
        <f>'Effort-Complexity'!E6</f>
        <v>0</v>
      </c>
      <c r="D3" s="17" t="str">
        <f t="shared" ref="D3:D37" si="0">IF(AND(B3&lt;&gt;"", B3&lt;&gt;0, C3&lt;&gt;"", C3&lt;&gt;0), B3/C3, "")</f>
        <v/>
      </c>
      <c r="E3" s="17" t="e">
        <f t="shared" ref="E3:E37" si="1">_xlfn.RANK.EQ(D3,$D$2:$D$37,0)</f>
        <v>#VALUE!</v>
      </c>
    </row>
    <row r="4" spans="1:5">
      <c r="A4" s="16"/>
      <c r="B4" s="17">
        <f>'Use-Value'!G7</f>
        <v>0</v>
      </c>
      <c r="C4" s="17">
        <f>'Effort-Complexity'!E7</f>
        <v>0</v>
      </c>
      <c r="D4" s="17" t="str">
        <f t="shared" si="0"/>
        <v/>
      </c>
      <c r="E4" s="17" t="e">
        <f t="shared" si="1"/>
        <v>#VALUE!</v>
      </c>
    </row>
    <row r="5" spans="1:5">
      <c r="A5" s="16"/>
      <c r="B5" s="17">
        <f>'Use-Value'!G8</f>
        <v>0</v>
      </c>
      <c r="C5" s="17">
        <f>'Effort-Complexity'!E8</f>
        <v>0</v>
      </c>
      <c r="D5" s="17" t="str">
        <f t="shared" si="0"/>
        <v/>
      </c>
      <c r="E5" s="17" t="e">
        <f t="shared" si="1"/>
        <v>#VALUE!</v>
      </c>
    </row>
    <row r="6" spans="1:5">
      <c r="A6" s="16"/>
      <c r="B6" s="17">
        <f>IF('Use-Value'!G9="","",'Use-Value'!G9)</f>
        <v>0</v>
      </c>
      <c r="C6" s="17">
        <f>'Effort-Complexity'!E9</f>
        <v>0</v>
      </c>
      <c r="D6" s="17" t="str">
        <f t="shared" si="0"/>
        <v/>
      </c>
      <c r="E6" s="17" t="e">
        <f t="shared" si="1"/>
        <v>#VALUE!</v>
      </c>
    </row>
    <row r="7" spans="1:5">
      <c r="A7" s="16"/>
      <c r="B7" s="17">
        <f>'Use-Value'!G10</f>
        <v>0</v>
      </c>
      <c r="C7" s="17">
        <f>'Effort-Complexity'!E10</f>
        <v>0</v>
      </c>
      <c r="D7" s="17" t="str">
        <f t="shared" si="0"/>
        <v/>
      </c>
      <c r="E7" s="17" t="e">
        <f t="shared" si="1"/>
        <v>#VALUE!</v>
      </c>
    </row>
    <row r="8" spans="1:5">
      <c r="A8" s="16"/>
      <c r="B8" s="17">
        <f>'Use-Value'!G11</f>
        <v>0</v>
      </c>
      <c r="C8" s="17">
        <f>'Effort-Complexity'!E11</f>
        <v>0</v>
      </c>
      <c r="D8" s="17" t="str">
        <f t="shared" si="0"/>
        <v/>
      </c>
      <c r="E8" s="17" t="e">
        <f t="shared" si="1"/>
        <v>#VALUE!</v>
      </c>
    </row>
    <row r="9" spans="1:5">
      <c r="A9" s="16"/>
      <c r="B9" s="17">
        <f>'Use-Value'!G12</f>
        <v>0</v>
      </c>
      <c r="C9" s="17">
        <f>'Effort-Complexity'!E12</f>
        <v>0</v>
      </c>
      <c r="D9" s="17" t="str">
        <f t="shared" si="0"/>
        <v/>
      </c>
      <c r="E9" s="17" t="e">
        <f t="shared" si="1"/>
        <v>#VALUE!</v>
      </c>
    </row>
    <row r="10" spans="1:5">
      <c r="A10" s="16"/>
      <c r="B10" s="17">
        <f>'Use-Value'!G13</f>
        <v>0</v>
      </c>
      <c r="C10" s="17">
        <f>'Effort-Complexity'!E13</f>
        <v>0</v>
      </c>
      <c r="D10" s="17" t="str">
        <f t="shared" si="0"/>
        <v/>
      </c>
      <c r="E10" s="17" t="e">
        <f t="shared" si="1"/>
        <v>#VALUE!</v>
      </c>
    </row>
    <row r="11" spans="1:5">
      <c r="A11" s="16"/>
      <c r="B11" s="17">
        <f>'Use-Value'!G14</f>
        <v>0</v>
      </c>
      <c r="C11" s="17">
        <f>'Effort-Complexity'!E14</f>
        <v>0</v>
      </c>
      <c r="D11" s="17" t="str">
        <f t="shared" si="0"/>
        <v/>
      </c>
      <c r="E11" s="17" t="e">
        <f t="shared" si="1"/>
        <v>#VALUE!</v>
      </c>
    </row>
    <row r="12" spans="1:5">
      <c r="A12" s="16"/>
      <c r="B12" s="17">
        <f>'Use-Value'!G15</f>
        <v>0</v>
      </c>
      <c r="C12" s="17">
        <f>'Effort-Complexity'!E15</f>
        <v>0</v>
      </c>
      <c r="D12" s="17" t="str">
        <f t="shared" si="0"/>
        <v/>
      </c>
      <c r="E12" s="17" t="e">
        <f t="shared" si="1"/>
        <v>#VALUE!</v>
      </c>
    </row>
    <row r="13" spans="1:5">
      <c r="A13" s="16"/>
      <c r="B13" s="17">
        <f>'Use-Value'!G16</f>
        <v>0</v>
      </c>
      <c r="C13" s="17">
        <f>'Effort-Complexity'!E16</f>
        <v>0</v>
      </c>
      <c r="D13" s="17" t="str">
        <f t="shared" si="0"/>
        <v/>
      </c>
      <c r="E13" s="17" t="e">
        <f t="shared" si="1"/>
        <v>#VALUE!</v>
      </c>
    </row>
    <row r="14" spans="1:5">
      <c r="A14" s="16"/>
      <c r="B14" s="17">
        <f>'Use-Value'!G17</f>
        <v>0</v>
      </c>
      <c r="C14" s="17">
        <f>'Effort-Complexity'!E17</f>
        <v>0</v>
      </c>
      <c r="D14" s="17" t="str">
        <f t="shared" si="0"/>
        <v/>
      </c>
      <c r="E14" s="17" t="e">
        <f t="shared" si="1"/>
        <v>#VALUE!</v>
      </c>
    </row>
    <row r="15" spans="1:5">
      <c r="A15" s="16"/>
      <c r="B15" s="17">
        <f>'Use-Value'!G18</f>
        <v>0</v>
      </c>
      <c r="C15" s="17">
        <f>'Effort-Complexity'!E18</f>
        <v>0</v>
      </c>
      <c r="D15" s="17" t="str">
        <f t="shared" si="0"/>
        <v/>
      </c>
      <c r="E15" s="17" t="e">
        <f t="shared" si="1"/>
        <v>#VALUE!</v>
      </c>
    </row>
    <row r="16" spans="1:5">
      <c r="A16" s="16"/>
      <c r="B16" s="17">
        <f>'Use-Value'!G19</f>
        <v>0</v>
      </c>
      <c r="C16" s="17">
        <f>'Effort-Complexity'!E19</f>
        <v>0</v>
      </c>
      <c r="D16" s="17" t="str">
        <f t="shared" si="0"/>
        <v/>
      </c>
      <c r="E16" s="17" t="e">
        <f t="shared" si="1"/>
        <v>#VALUE!</v>
      </c>
    </row>
    <row r="17" spans="1:5">
      <c r="A17" s="16"/>
      <c r="B17" s="17">
        <f>'Use-Value'!G20</f>
        <v>0</v>
      </c>
      <c r="C17" s="17">
        <f>'Effort-Complexity'!E20</f>
        <v>0</v>
      </c>
      <c r="D17" s="17" t="str">
        <f t="shared" si="0"/>
        <v/>
      </c>
      <c r="E17" s="17" t="e">
        <f t="shared" si="1"/>
        <v>#VALUE!</v>
      </c>
    </row>
    <row r="18" spans="1:5">
      <c r="A18" s="16"/>
      <c r="B18" s="17">
        <f>'Use-Value'!G21</f>
        <v>0</v>
      </c>
      <c r="C18" s="17">
        <f>'Effort-Complexity'!E21</f>
        <v>0</v>
      </c>
      <c r="D18" s="17" t="str">
        <f t="shared" si="0"/>
        <v/>
      </c>
      <c r="E18" s="17" t="e">
        <f t="shared" si="1"/>
        <v>#VALUE!</v>
      </c>
    </row>
    <row r="19" spans="1:5">
      <c r="A19" s="16"/>
      <c r="B19" s="17">
        <f>'Use-Value'!G22</f>
        <v>0</v>
      </c>
      <c r="C19" s="17">
        <f>'Effort-Complexity'!E22</f>
        <v>0</v>
      </c>
      <c r="D19" s="17" t="str">
        <f t="shared" si="0"/>
        <v/>
      </c>
      <c r="E19" s="17" t="e">
        <f t="shared" si="1"/>
        <v>#VALUE!</v>
      </c>
    </row>
    <row r="20" spans="1:5">
      <c r="A20" s="16"/>
      <c r="B20" s="17">
        <f>'Use-Value'!G23</f>
        <v>0</v>
      </c>
      <c r="C20" s="17">
        <f>'Effort-Complexity'!E23</f>
        <v>0</v>
      </c>
      <c r="D20" s="17" t="str">
        <f t="shared" si="0"/>
        <v/>
      </c>
      <c r="E20" s="17" t="e">
        <f t="shared" si="1"/>
        <v>#VALUE!</v>
      </c>
    </row>
    <row r="21" spans="1:5">
      <c r="A21" s="16"/>
      <c r="B21" s="17">
        <f>'Use-Value'!G24</f>
        <v>0</v>
      </c>
      <c r="C21" s="17">
        <f>'Effort-Complexity'!E24</f>
        <v>0</v>
      </c>
      <c r="D21" s="17" t="str">
        <f t="shared" si="0"/>
        <v/>
      </c>
      <c r="E21" s="17" t="e">
        <f t="shared" si="1"/>
        <v>#VALUE!</v>
      </c>
    </row>
    <row r="22" spans="1:5">
      <c r="A22" s="16"/>
      <c r="B22" s="17">
        <f>'Use-Value'!G25</f>
        <v>0</v>
      </c>
      <c r="C22" s="17">
        <f>'Effort-Complexity'!E25</f>
        <v>0</v>
      </c>
      <c r="D22" s="17" t="str">
        <f t="shared" si="0"/>
        <v/>
      </c>
      <c r="E22" s="17" t="e">
        <f t="shared" si="1"/>
        <v>#VALUE!</v>
      </c>
    </row>
    <row r="23" spans="1:5">
      <c r="A23" s="16"/>
      <c r="B23" s="17">
        <f>'Use-Value'!G26</f>
        <v>0</v>
      </c>
      <c r="C23" s="17">
        <f>'Effort-Complexity'!E26</f>
        <v>0</v>
      </c>
      <c r="D23" s="17" t="str">
        <f t="shared" si="0"/>
        <v/>
      </c>
      <c r="E23" s="17" t="e">
        <f t="shared" si="1"/>
        <v>#VALUE!</v>
      </c>
    </row>
    <row r="24" spans="1:5">
      <c r="A24" s="16"/>
      <c r="B24" s="17">
        <f>'Use-Value'!G27</f>
        <v>0</v>
      </c>
      <c r="C24" s="17">
        <f>'Effort-Complexity'!E27</f>
        <v>0</v>
      </c>
      <c r="D24" s="17" t="str">
        <f t="shared" si="0"/>
        <v/>
      </c>
      <c r="E24" s="17" t="e">
        <f t="shared" si="1"/>
        <v>#VALUE!</v>
      </c>
    </row>
    <row r="25" spans="1:5">
      <c r="A25" s="16"/>
      <c r="B25" s="17">
        <f>'Use-Value'!G28</f>
        <v>0</v>
      </c>
      <c r="C25" s="17">
        <f>'Effort-Complexity'!E28</f>
        <v>0</v>
      </c>
      <c r="D25" s="17" t="str">
        <f t="shared" si="0"/>
        <v/>
      </c>
      <c r="E25" s="17" t="e">
        <f t="shared" si="1"/>
        <v>#VALUE!</v>
      </c>
    </row>
    <row r="26" spans="1:5">
      <c r="A26" s="16"/>
      <c r="B26" s="17">
        <f>'Use-Value'!G29</f>
        <v>0</v>
      </c>
      <c r="C26" s="17">
        <f>'Effort-Complexity'!E29</f>
        <v>0</v>
      </c>
      <c r="D26" s="17" t="str">
        <f t="shared" si="0"/>
        <v/>
      </c>
      <c r="E26" s="17" t="e">
        <f t="shared" si="1"/>
        <v>#VALUE!</v>
      </c>
    </row>
    <row r="27" spans="1:5">
      <c r="A27" s="16"/>
      <c r="B27" s="17">
        <f>'Use-Value'!G30</f>
        <v>0</v>
      </c>
      <c r="C27" s="17">
        <f>'Effort-Complexity'!E30</f>
        <v>0</v>
      </c>
      <c r="D27" s="17" t="str">
        <f t="shared" si="0"/>
        <v/>
      </c>
      <c r="E27" s="17" t="e">
        <f t="shared" si="1"/>
        <v>#VALUE!</v>
      </c>
    </row>
    <row r="28" spans="1:5">
      <c r="A28" s="16"/>
      <c r="B28" s="17">
        <f>'Use-Value'!G31</f>
        <v>0</v>
      </c>
      <c r="C28" s="17">
        <f>'Effort-Complexity'!E31</f>
        <v>0</v>
      </c>
      <c r="D28" s="17" t="str">
        <f t="shared" si="0"/>
        <v/>
      </c>
      <c r="E28" s="17" t="e">
        <f t="shared" si="1"/>
        <v>#VALUE!</v>
      </c>
    </row>
    <row r="29" spans="1:5" s="1" customFormat="1">
      <c r="A29" s="16"/>
      <c r="B29" s="17">
        <f>'Use-Value'!G32</f>
        <v>0</v>
      </c>
      <c r="C29" s="17">
        <f>'Effort-Complexity'!E32</f>
        <v>0</v>
      </c>
      <c r="D29" s="17" t="str">
        <f t="shared" si="0"/>
        <v/>
      </c>
      <c r="E29" s="17" t="e">
        <f t="shared" si="1"/>
        <v>#VALUE!</v>
      </c>
    </row>
    <row r="30" spans="1:5" s="1" customFormat="1">
      <c r="A30" s="16"/>
      <c r="B30" s="17">
        <f>'Use-Value'!G33</f>
        <v>0</v>
      </c>
      <c r="C30" s="17">
        <f>'Effort-Complexity'!E33</f>
        <v>0</v>
      </c>
      <c r="D30" s="17" t="str">
        <f t="shared" si="0"/>
        <v/>
      </c>
      <c r="E30" s="17" t="e">
        <f t="shared" si="1"/>
        <v>#VALUE!</v>
      </c>
    </row>
    <row r="31" spans="1:5" s="1" customFormat="1">
      <c r="A31" s="16"/>
      <c r="B31" s="17">
        <f>'Use-Value'!G34</f>
        <v>0</v>
      </c>
      <c r="C31" s="17">
        <f>'Effort-Complexity'!E34</f>
        <v>0</v>
      </c>
      <c r="D31" s="17" t="str">
        <f t="shared" si="0"/>
        <v/>
      </c>
      <c r="E31" s="17" t="e">
        <f t="shared" si="1"/>
        <v>#VALUE!</v>
      </c>
    </row>
    <row r="32" spans="1:5" s="1" customFormat="1">
      <c r="A32" s="16"/>
      <c r="B32" s="17">
        <f>'Use-Value'!G35</f>
        <v>0</v>
      </c>
      <c r="C32" s="17">
        <f>'Effort-Complexity'!E35</f>
        <v>0</v>
      </c>
      <c r="D32" s="17" t="str">
        <f t="shared" si="0"/>
        <v/>
      </c>
      <c r="E32" s="17" t="e">
        <f t="shared" si="1"/>
        <v>#VALUE!</v>
      </c>
    </row>
    <row r="33" spans="1:5" s="1" customFormat="1">
      <c r="A33" s="16"/>
      <c r="B33" s="17">
        <f>'Use-Value'!G36</f>
        <v>0</v>
      </c>
      <c r="C33" s="17">
        <f>'Effort-Complexity'!E36</f>
        <v>0</v>
      </c>
      <c r="D33" s="17" t="str">
        <f t="shared" si="0"/>
        <v/>
      </c>
      <c r="E33" s="17" t="e">
        <f t="shared" si="1"/>
        <v>#VALUE!</v>
      </c>
    </row>
    <row r="34" spans="1:5" s="1" customFormat="1">
      <c r="A34" s="16"/>
      <c r="B34" s="17">
        <f>'Use-Value'!G37</f>
        <v>0</v>
      </c>
      <c r="C34" s="17">
        <f>'Effort-Complexity'!E37</f>
        <v>0</v>
      </c>
      <c r="D34" s="17" t="str">
        <f t="shared" si="0"/>
        <v/>
      </c>
      <c r="E34" s="17" t="e">
        <f t="shared" si="1"/>
        <v>#VALUE!</v>
      </c>
    </row>
    <row r="35" spans="1:5" s="1" customFormat="1">
      <c r="A35" s="16"/>
      <c r="B35" s="17">
        <f>'Use-Value'!G38</f>
        <v>0</v>
      </c>
      <c r="C35" s="17">
        <f>'Effort-Complexity'!E38</f>
        <v>0</v>
      </c>
      <c r="D35" s="17" t="str">
        <f t="shared" si="0"/>
        <v/>
      </c>
      <c r="E35" s="17" t="e">
        <f t="shared" si="1"/>
        <v>#VALUE!</v>
      </c>
    </row>
    <row r="36" spans="1:5" s="1" customFormat="1">
      <c r="A36" s="16"/>
      <c r="B36" s="17">
        <f>'Use-Value'!G39</f>
        <v>0</v>
      </c>
      <c r="C36" s="17">
        <f>'Effort-Complexity'!E39</f>
        <v>0</v>
      </c>
      <c r="D36" s="17" t="str">
        <f t="shared" si="0"/>
        <v/>
      </c>
      <c r="E36" s="17" t="e">
        <f t="shared" si="1"/>
        <v>#VALUE!</v>
      </c>
    </row>
    <row r="37" spans="1:5" s="1" customFormat="1">
      <c r="A37" s="16"/>
      <c r="B37" s="17">
        <f>'Use-Value'!G40</f>
        <v>0</v>
      </c>
      <c r="C37" s="17">
        <f>'Effort-Complexity'!E40</f>
        <v>0</v>
      </c>
      <c r="D37" s="17" t="str">
        <f t="shared" si="0"/>
        <v/>
      </c>
      <c r="E37" s="17" t="e">
        <f t="shared" si="1"/>
        <v>#VALUE!</v>
      </c>
    </row>
    <row r="38" spans="1:5" s="1" customFormat="1"/>
    <row r="39" spans="1:5" s="1" customFormat="1"/>
    <row r="40" spans="1:5" s="1" customFormat="1"/>
    <row r="41" spans="1:5" s="1" customFormat="1"/>
    <row r="42" spans="1:5" s="1" customFormat="1"/>
    <row r="43" spans="1:5" s="1" customFormat="1"/>
    <row r="44" spans="1:5" s="1" customFormat="1"/>
    <row r="45" spans="1:5" s="1" customFormat="1"/>
    <row r="46" spans="1:5" s="1" customFormat="1"/>
    <row r="47" spans="1:5" s="1" customFormat="1"/>
    <row r="48" spans="1:5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</sheetData>
  <sheetProtection algorithmName="SHA-512" hashValue="xklY1K708dU1dukU2hM5nZ396QlNKEeCRXw7AC54EB7oibZFAX1skEnbTB37oMSHkU/v9YDAg5ZlndmZf8m/aA==" saltValue="0MY8aqURG6wF+fyB6GAqCQ==" spinCount="100000" sheet="1" objects="1" scenarios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Use-Value</vt:lpstr>
      <vt:lpstr>Effort-Complexity</vt:lpstr>
      <vt:lpstr>Methods Priority Calculation</vt:lpstr>
      <vt:lpstr>'Use-Value'!_edn1</vt:lpstr>
      <vt:lpstr>'Use-Value'!_edn2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HAIFA ABDULLAH KHUDAIR ALSHAMMARE</dc:creator>
  <cp:lastModifiedBy>HAIFA ABDULLAH KHUDAIR ALSHAMMARE</cp:lastModifiedBy>
  <dcterms:created xsi:type="dcterms:W3CDTF">2024-05-12T14:20:08Z</dcterms:created>
  <dcterms:modified xsi:type="dcterms:W3CDTF">2025-12-14T12:09:46Z</dcterms:modified>
</cp:coreProperties>
</file>